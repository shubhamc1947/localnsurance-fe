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afeguardworld-my.sharepoint.com/personal/ashishranjan1_safeguardworld_com/Documents/Desktop/"/>
    </mc:Choice>
  </mc:AlternateContent>
  <xr:revisionPtr revIDLastSave="25" documentId="8_{CAB3BB77-585E-4886-BCDF-60DEFD6E9210}" xr6:coauthVersionLast="47" xr6:coauthVersionMax="47" xr10:uidLastSave="{67C816D0-25F4-4E40-960A-FB6BAF870C04}"/>
  <bookViews>
    <workbookView xWindow="-120" yWindow="-120" windowWidth="20730" windowHeight="11160" xr2:uid="{00000000-000D-0000-FFFF-FFFF00000000}"/>
  </bookViews>
  <sheets>
    <sheet name="Sent (pre tax)" sheetId="10" r:id="rId1"/>
    <sheet name="Calculation" sheetId="8" state="hidden" r:id="rId2"/>
  </sheets>
  <calcPr calcId="181029"/>
</workbook>
</file>

<file path=xl/calcChain.xml><?xml version="1.0" encoding="utf-8"?>
<calcChain xmlns="http://schemas.openxmlformats.org/spreadsheetml/2006/main">
  <c r="BB27" i="10" l="1"/>
  <c r="AW27" i="10"/>
  <c r="AR27" i="10"/>
  <c r="AM27" i="10"/>
  <c r="AH27" i="10"/>
  <c r="AC27" i="10"/>
  <c r="W27" i="10"/>
  <c r="R27" i="10"/>
  <c r="M27" i="10"/>
  <c r="H27" i="10"/>
  <c r="C27" i="10"/>
  <c r="BC26" i="10"/>
  <c r="AX26" i="10"/>
  <c r="AS26" i="10"/>
  <c r="AN26" i="10"/>
  <c r="AI26" i="10"/>
  <c r="AD26" i="10"/>
  <c r="X26" i="10"/>
  <c r="S26" i="10"/>
  <c r="N26" i="10"/>
  <c r="I26" i="10"/>
  <c r="D26" i="10"/>
  <c r="BF25" i="10"/>
  <c r="BE25" i="10"/>
  <c r="BA25" i="10"/>
  <c r="AZ25" i="10"/>
  <c r="AV25" i="10"/>
  <c r="AU25" i="10"/>
  <c r="AQ25" i="10"/>
  <c r="AP25" i="10"/>
  <c r="AL25" i="10"/>
  <c r="AK25" i="10"/>
  <c r="AG25" i="10"/>
  <c r="AF25" i="10"/>
  <c r="AA25" i="10"/>
  <c r="Z25" i="10"/>
  <c r="V25" i="10"/>
  <c r="U25" i="10"/>
  <c r="Q25" i="10"/>
  <c r="P25" i="10"/>
  <c r="L25" i="10"/>
  <c r="K25" i="10"/>
  <c r="G25" i="10"/>
  <c r="F25" i="10"/>
  <c r="BF24" i="10"/>
  <c r="BE24" i="10"/>
  <c r="BA24" i="10"/>
  <c r="AZ24" i="10"/>
  <c r="AV24" i="10"/>
  <c r="AU24" i="10"/>
  <c r="AQ24" i="10"/>
  <c r="AP24" i="10"/>
  <c r="AL24" i="10"/>
  <c r="AK24" i="10"/>
  <c r="AG24" i="10"/>
  <c r="AF24" i="10"/>
  <c r="AA24" i="10"/>
  <c r="Z24" i="10"/>
  <c r="V24" i="10"/>
  <c r="U24" i="10"/>
  <c r="Q24" i="10"/>
  <c r="P24" i="10"/>
  <c r="L24" i="10"/>
  <c r="K24" i="10"/>
  <c r="G24" i="10"/>
  <c r="F24" i="10"/>
  <c r="BF23" i="10"/>
  <c r="BE23" i="10"/>
  <c r="BA23" i="10"/>
  <c r="AZ23" i="10"/>
  <c r="AV23" i="10"/>
  <c r="AU23" i="10"/>
  <c r="AQ23" i="10"/>
  <c r="AP23" i="10"/>
  <c r="AL23" i="10"/>
  <c r="AK23" i="10"/>
  <c r="AG23" i="10"/>
  <c r="AF23" i="10"/>
  <c r="AA23" i="10"/>
  <c r="Z23" i="10"/>
  <c r="V23" i="10"/>
  <c r="U23" i="10"/>
  <c r="Q23" i="10"/>
  <c r="P23" i="10"/>
  <c r="L23" i="10"/>
  <c r="K23" i="10"/>
  <c r="G23" i="10"/>
  <c r="F23" i="10"/>
  <c r="BF22" i="10"/>
  <c r="BE22" i="10"/>
  <c r="BA22" i="10"/>
  <c r="AZ22" i="10"/>
  <c r="AV22" i="10"/>
  <c r="AU22" i="10"/>
  <c r="AQ22" i="10"/>
  <c r="AP22" i="10"/>
  <c r="AL22" i="10"/>
  <c r="AK22" i="10"/>
  <c r="AG22" i="10"/>
  <c r="AF22" i="10"/>
  <c r="AA22" i="10"/>
  <c r="Z22" i="10"/>
  <c r="V22" i="10"/>
  <c r="U22" i="10"/>
  <c r="Q22" i="10"/>
  <c r="P22" i="10"/>
  <c r="L22" i="10"/>
  <c r="K22" i="10"/>
  <c r="G22" i="10"/>
  <c r="F22" i="10"/>
  <c r="BF21" i="10"/>
  <c r="BE21" i="10"/>
  <c r="BA21" i="10"/>
  <c r="AZ21" i="10"/>
  <c r="AV21" i="10"/>
  <c r="AU21" i="10"/>
  <c r="AQ21" i="10"/>
  <c r="AP21" i="10"/>
  <c r="AL21" i="10"/>
  <c r="AK21" i="10"/>
  <c r="AG21" i="10"/>
  <c r="AF21" i="10"/>
  <c r="AA21" i="10"/>
  <c r="Z21" i="10"/>
  <c r="V21" i="10"/>
  <c r="U21" i="10"/>
  <c r="Q21" i="10"/>
  <c r="P21" i="10"/>
  <c r="L21" i="10"/>
  <c r="K21" i="10"/>
  <c r="G21" i="10"/>
  <c r="F21" i="10"/>
  <c r="BF20" i="10"/>
  <c r="BE20" i="10"/>
  <c r="BA20" i="10"/>
  <c r="AZ20" i="10"/>
  <c r="AV20" i="10"/>
  <c r="AU20" i="10"/>
  <c r="AQ20" i="10"/>
  <c r="AP20" i="10"/>
  <c r="AL20" i="10"/>
  <c r="AK20" i="10"/>
  <c r="AG20" i="10"/>
  <c r="AF20" i="10"/>
  <c r="AA20" i="10"/>
  <c r="Z20" i="10"/>
  <c r="V20" i="10"/>
  <c r="U20" i="10"/>
  <c r="Q20" i="10"/>
  <c r="P20" i="10"/>
  <c r="L20" i="10"/>
  <c r="K20" i="10"/>
  <c r="G20" i="10"/>
  <c r="F20" i="10"/>
  <c r="BF19" i="10"/>
  <c r="BE19" i="10"/>
  <c r="BA19" i="10"/>
  <c r="AZ19" i="10"/>
  <c r="AV19" i="10"/>
  <c r="AU19" i="10"/>
  <c r="AQ19" i="10"/>
  <c r="AP19" i="10"/>
  <c r="AL19" i="10"/>
  <c r="AK19" i="10"/>
  <c r="AG19" i="10"/>
  <c r="AF19" i="10"/>
  <c r="AA19" i="10"/>
  <c r="Z19" i="10"/>
  <c r="V19" i="10"/>
  <c r="U19" i="10"/>
  <c r="Q19" i="10"/>
  <c r="P19" i="10"/>
  <c r="L19" i="10"/>
  <c r="K19" i="10"/>
  <c r="G19" i="10"/>
  <c r="F19" i="10"/>
  <c r="BF18" i="10"/>
  <c r="BE18" i="10"/>
  <c r="BA18" i="10"/>
  <c r="AZ18" i="10"/>
  <c r="AV18" i="10"/>
  <c r="AU18" i="10"/>
  <c r="AQ18" i="10"/>
  <c r="AP18" i="10"/>
  <c r="AL18" i="10"/>
  <c r="AK18" i="10"/>
  <c r="AG18" i="10"/>
  <c r="AF18" i="10"/>
  <c r="AA18" i="10"/>
  <c r="Z18" i="10"/>
  <c r="V18" i="10"/>
  <c r="U18" i="10"/>
  <c r="Q18" i="10"/>
  <c r="P18" i="10"/>
  <c r="L18" i="10"/>
  <c r="K18" i="10"/>
  <c r="G18" i="10"/>
  <c r="F18" i="10"/>
  <c r="BF17" i="10"/>
  <c r="BE17" i="10"/>
  <c r="BA17" i="10"/>
  <c r="AZ17" i="10"/>
  <c r="AV17" i="10"/>
  <c r="AU17" i="10"/>
  <c r="AQ17" i="10"/>
  <c r="AP17" i="10"/>
  <c r="AL17" i="10"/>
  <c r="AK17" i="10"/>
  <c r="AG17" i="10"/>
  <c r="AF17" i="10"/>
  <c r="AA17" i="10"/>
  <c r="Z17" i="10"/>
  <c r="V17" i="10"/>
  <c r="U17" i="10"/>
  <c r="Q17" i="10"/>
  <c r="P17" i="10"/>
  <c r="L17" i="10"/>
  <c r="K17" i="10"/>
  <c r="G17" i="10"/>
  <c r="F17" i="10"/>
  <c r="BF16" i="10"/>
  <c r="BE16" i="10"/>
  <c r="BA16" i="10"/>
  <c r="AZ16" i="10"/>
  <c r="AV16" i="10"/>
  <c r="AU16" i="10"/>
  <c r="AQ16" i="10"/>
  <c r="AP16" i="10"/>
  <c r="AL16" i="10"/>
  <c r="AK16" i="10"/>
  <c r="AG16" i="10"/>
  <c r="AF16" i="10"/>
  <c r="AA16" i="10"/>
  <c r="Z16" i="10"/>
  <c r="V16" i="10"/>
  <c r="U16" i="10"/>
  <c r="Q16" i="10"/>
  <c r="P16" i="10"/>
  <c r="L16" i="10"/>
  <c r="K16" i="10"/>
  <c r="G16" i="10"/>
  <c r="F16" i="10"/>
  <c r="BF15" i="10"/>
  <c r="BE15" i="10"/>
  <c r="BA15" i="10"/>
  <c r="AZ15" i="10"/>
  <c r="AV15" i="10"/>
  <c r="AU15" i="10"/>
  <c r="AQ15" i="10"/>
  <c r="AP15" i="10"/>
  <c r="AL15" i="10"/>
  <c r="AK15" i="10"/>
  <c r="AG15" i="10"/>
  <c r="AF15" i="10"/>
  <c r="AA15" i="10"/>
  <c r="Z15" i="10"/>
  <c r="V15" i="10"/>
  <c r="U15" i="10"/>
  <c r="Q15" i="10"/>
  <c r="P15" i="10"/>
  <c r="L15" i="10"/>
  <c r="K15" i="10"/>
  <c r="G15" i="10"/>
  <c r="F15" i="10"/>
  <c r="BF14" i="10"/>
  <c r="BE14" i="10"/>
  <c r="BA14" i="10"/>
  <c r="AZ14" i="10"/>
  <c r="AV14" i="10"/>
  <c r="AU14" i="10"/>
  <c r="AQ14" i="10"/>
  <c r="AP14" i="10"/>
  <c r="AL14" i="10"/>
  <c r="AK14" i="10"/>
  <c r="AG14" i="10"/>
  <c r="AF14" i="10"/>
  <c r="AA14" i="10"/>
  <c r="Z14" i="10"/>
  <c r="V14" i="10"/>
  <c r="U14" i="10"/>
  <c r="Q14" i="10"/>
  <c r="P14" i="10"/>
  <c r="L14" i="10"/>
  <c r="K14" i="10"/>
  <c r="G14" i="10"/>
  <c r="F14" i="10"/>
  <c r="BF13" i="10"/>
  <c r="BE13" i="10"/>
  <c r="BA13" i="10"/>
  <c r="AZ13" i="10"/>
  <c r="AV13" i="10"/>
  <c r="AU13" i="10"/>
  <c r="AQ13" i="10"/>
  <c r="AP13" i="10"/>
  <c r="AL13" i="10"/>
  <c r="AK13" i="10"/>
  <c r="AG13" i="10"/>
  <c r="AF13" i="10"/>
  <c r="AA13" i="10"/>
  <c r="Z13" i="10"/>
  <c r="V13" i="10"/>
  <c r="U13" i="10"/>
  <c r="Q13" i="10"/>
  <c r="P13" i="10"/>
  <c r="L13" i="10"/>
  <c r="K13" i="10"/>
  <c r="G13" i="10"/>
  <c r="F13" i="10"/>
  <c r="BF12" i="10"/>
  <c r="BE12" i="10"/>
  <c r="BA12" i="10"/>
  <c r="AZ12" i="10"/>
  <c r="AV12" i="10"/>
  <c r="AU12" i="10"/>
  <c r="AQ12" i="10"/>
  <c r="AP12" i="10"/>
  <c r="AL12" i="10"/>
  <c r="AK12" i="10"/>
  <c r="AG12" i="10"/>
  <c r="AF12" i="10"/>
  <c r="AA12" i="10"/>
  <c r="Z12" i="10"/>
  <c r="V12" i="10"/>
  <c r="U12" i="10"/>
  <c r="Q12" i="10"/>
  <c r="P12" i="10"/>
  <c r="L12" i="10"/>
  <c r="K12" i="10"/>
  <c r="G12" i="10"/>
  <c r="F12" i="10"/>
  <c r="EC27" i="8"/>
  <c r="DV27" i="8"/>
  <c r="DO27" i="8"/>
  <c r="P27" i="8"/>
  <c r="H29" i="8"/>
  <c r="LY28" i="8"/>
  <c r="IF28" i="8"/>
  <c r="EM28" i="8"/>
  <c r="E46" i="8"/>
  <c r="DH27" i="8"/>
  <c r="DC27" i="8"/>
  <c r="CX27" i="8"/>
  <c r="CS27" i="8"/>
  <c r="CN27" i="8"/>
  <c r="CI27" i="8"/>
  <c r="CB27" i="8"/>
  <c r="BW27" i="8"/>
  <c r="BR27" i="8"/>
  <c r="BM27" i="8"/>
  <c r="BH27" i="8"/>
  <c r="BC27" i="8"/>
  <c r="AV27" i="8"/>
  <c r="AQ27" i="8"/>
  <c r="AL27" i="8"/>
  <c r="AG27" i="8"/>
  <c r="AB27" i="8"/>
  <c r="W27" i="8"/>
  <c r="SL27" i="8"/>
  <c r="SG27" i="8"/>
  <c r="SB27" i="8"/>
  <c r="RW27" i="8"/>
  <c r="RR27" i="8"/>
  <c r="RM27" i="8"/>
  <c r="RH27" i="8"/>
  <c r="RC27" i="8"/>
  <c r="QX27" i="8"/>
  <c r="QS27" i="8"/>
  <c r="QN27" i="8"/>
  <c r="QI27" i="8"/>
  <c r="QD27" i="8"/>
  <c r="PY27" i="8"/>
  <c r="PT27" i="8"/>
  <c r="PO27" i="8"/>
  <c r="PH27" i="8"/>
  <c r="PC27" i="8"/>
  <c r="OX27" i="8"/>
  <c r="OS27" i="8"/>
  <c r="ON27" i="8"/>
  <c r="OI27" i="8"/>
  <c r="OD27" i="8"/>
  <c r="NY27" i="8"/>
  <c r="NT27" i="8"/>
  <c r="NO27" i="8"/>
  <c r="NJ27" i="8"/>
  <c r="NE27" i="8"/>
  <c r="MZ27" i="8"/>
  <c r="MU27" i="8"/>
  <c r="MP27" i="8"/>
  <c r="MK27" i="8"/>
  <c r="MF27" i="8"/>
  <c r="MA27" i="8"/>
  <c r="LV27" i="8"/>
  <c r="LO27" i="8"/>
  <c r="LJ27" i="8"/>
  <c r="LE27" i="8"/>
  <c r="KZ27" i="8"/>
  <c r="KU27" i="8"/>
  <c r="KP27" i="8"/>
  <c r="KK27" i="8"/>
  <c r="KF27" i="8"/>
  <c r="KA27" i="8"/>
  <c r="JV27" i="8"/>
  <c r="JQ27" i="8"/>
  <c r="JL27" i="8"/>
  <c r="JG27" i="8"/>
  <c r="JB27" i="8"/>
  <c r="IW27" i="8"/>
  <c r="IR27" i="8"/>
  <c r="IM27" i="8"/>
  <c r="IH27" i="8"/>
  <c r="IC27" i="8"/>
  <c r="HV27" i="8"/>
  <c r="HQ27" i="8"/>
  <c r="HL27" i="8"/>
  <c r="HG27" i="8"/>
  <c r="HB27" i="8"/>
  <c r="GW27" i="8"/>
  <c r="GR27" i="8"/>
  <c r="GM27" i="8"/>
  <c r="GH27" i="8"/>
  <c r="GC27" i="8"/>
  <c r="FX27" i="8"/>
  <c r="FS27" i="8"/>
  <c r="FN27" i="8"/>
  <c r="FI27" i="8"/>
  <c r="FD27" i="8"/>
  <c r="EY27" i="8"/>
  <c r="ET27" i="8"/>
  <c r="EO27" i="8"/>
  <c r="EJ27" i="8"/>
  <c r="I27" i="8"/>
  <c r="B27" i="8"/>
  <c r="ED26" i="8"/>
  <c r="B42" i="8" s="1"/>
  <c r="DW26" i="8"/>
  <c r="B41" i="8" s="1"/>
  <c r="DP26" i="8"/>
  <c r="B40" i="8" s="1"/>
  <c r="DI26" i="8"/>
  <c r="DD26" i="8"/>
  <c r="CY26" i="8"/>
  <c r="CT26" i="8"/>
  <c r="CO26" i="8"/>
  <c r="CJ26" i="8"/>
  <c r="CC26" i="8"/>
  <c r="BX26" i="8"/>
  <c r="BS26" i="8"/>
  <c r="BN26" i="8"/>
  <c r="BI26" i="8"/>
  <c r="BD26" i="8"/>
  <c r="B38" i="8" s="1"/>
  <c r="AW26" i="8"/>
  <c r="AR26" i="8"/>
  <c r="AM26" i="8"/>
  <c r="AH26" i="8"/>
  <c r="AC26" i="8"/>
  <c r="X26" i="8"/>
  <c r="B37" i="8" s="1"/>
  <c r="SM26" i="8"/>
  <c r="SH26" i="8"/>
  <c r="SC26" i="8"/>
  <c r="RX26" i="8"/>
  <c r="RS26" i="8"/>
  <c r="RN26" i="8"/>
  <c r="RI26" i="8"/>
  <c r="RD26" i="8"/>
  <c r="QY26" i="8"/>
  <c r="QT26" i="8"/>
  <c r="QO26" i="8"/>
  <c r="QJ26" i="8"/>
  <c r="QE26" i="8"/>
  <c r="PZ26" i="8"/>
  <c r="PU26" i="8"/>
  <c r="PP26" i="8"/>
  <c r="PI26" i="8"/>
  <c r="PD26" i="8"/>
  <c r="OY26" i="8"/>
  <c r="OT26" i="8"/>
  <c r="OO26" i="8"/>
  <c r="OJ26" i="8"/>
  <c r="OE26" i="8"/>
  <c r="NZ26" i="8"/>
  <c r="NU26" i="8"/>
  <c r="NP26" i="8"/>
  <c r="NK26" i="8"/>
  <c r="NF26" i="8"/>
  <c r="NA26" i="8"/>
  <c r="MV26" i="8"/>
  <c r="MQ26" i="8"/>
  <c r="ML26" i="8"/>
  <c r="MG26" i="8"/>
  <c r="MB26" i="8"/>
  <c r="LW26" i="8"/>
  <c r="LP26" i="8"/>
  <c r="LK26" i="8"/>
  <c r="LF26" i="8"/>
  <c r="LA26" i="8"/>
  <c r="KV26" i="8"/>
  <c r="KQ26" i="8"/>
  <c r="KL26" i="8"/>
  <c r="KG26" i="8"/>
  <c r="KB26" i="8"/>
  <c r="JW26" i="8"/>
  <c r="JR26" i="8"/>
  <c r="JM26" i="8"/>
  <c r="JH26" i="8"/>
  <c r="JC26" i="8"/>
  <c r="IX26" i="8"/>
  <c r="IS26" i="8"/>
  <c r="IN26" i="8"/>
  <c r="II26" i="8"/>
  <c r="ID26" i="8"/>
  <c r="HW26" i="8"/>
  <c r="HR26" i="8"/>
  <c r="HM26" i="8"/>
  <c r="HH26" i="8"/>
  <c r="HC26" i="8"/>
  <c r="GX26" i="8"/>
  <c r="GS26" i="8"/>
  <c r="GN26" i="8"/>
  <c r="GI26" i="8"/>
  <c r="GD26" i="8"/>
  <c r="FY26" i="8"/>
  <c r="FT26" i="8"/>
  <c r="FO26" i="8"/>
  <c r="FJ26" i="8"/>
  <c r="FE26" i="8"/>
  <c r="EZ26" i="8"/>
  <c r="EU26" i="8"/>
  <c r="EP26" i="8"/>
  <c r="EK26" i="8"/>
  <c r="Q26" i="8"/>
  <c r="B36" i="8" s="1"/>
  <c r="J26" i="8"/>
  <c r="B35" i="8" s="1"/>
  <c r="C26" i="8"/>
  <c r="B34" i="8" s="1"/>
  <c r="EG25" i="8"/>
  <c r="EF25" i="8"/>
  <c r="DZ25" i="8"/>
  <c r="DY25" i="8"/>
  <c r="DS25" i="8"/>
  <c r="DR25" i="8"/>
  <c r="DL25" i="8"/>
  <c r="DK25" i="8"/>
  <c r="DG25" i="8"/>
  <c r="DF25" i="8"/>
  <c r="DB25" i="8"/>
  <c r="DA25" i="8"/>
  <c r="CW25" i="8"/>
  <c r="CV25" i="8"/>
  <c r="CR25" i="8"/>
  <c r="CQ25" i="8"/>
  <c r="CM25" i="8"/>
  <c r="CL25" i="8"/>
  <c r="CF25" i="8"/>
  <c r="CE25" i="8"/>
  <c r="CA25" i="8"/>
  <c r="BZ25" i="8"/>
  <c r="BV25" i="8"/>
  <c r="BU25" i="8"/>
  <c r="BQ25" i="8"/>
  <c r="BP25" i="8"/>
  <c r="BL25" i="8"/>
  <c r="BK25" i="8"/>
  <c r="BG25" i="8"/>
  <c r="BF25" i="8"/>
  <c r="AZ25" i="8"/>
  <c r="AY25" i="8"/>
  <c r="AU25" i="8"/>
  <c r="AT25" i="8"/>
  <c r="AP25" i="8"/>
  <c r="AO25" i="8"/>
  <c r="AK25" i="8"/>
  <c r="AJ25" i="8"/>
  <c r="AF25" i="8"/>
  <c r="AE25" i="8"/>
  <c r="AA25" i="8"/>
  <c r="Z25" i="8"/>
  <c r="SP25" i="8"/>
  <c r="SO25" i="8"/>
  <c r="SK25" i="8"/>
  <c r="SJ25" i="8"/>
  <c r="SF25" i="8"/>
  <c r="SE25" i="8"/>
  <c r="SA25" i="8"/>
  <c r="RZ25" i="8"/>
  <c r="RV25" i="8"/>
  <c r="RU25" i="8"/>
  <c r="RQ25" i="8"/>
  <c r="RP25" i="8"/>
  <c r="RL25" i="8"/>
  <c r="RK25" i="8"/>
  <c r="RG25" i="8"/>
  <c r="RF25" i="8"/>
  <c r="RB25" i="8"/>
  <c r="RA25" i="8"/>
  <c r="QW25" i="8"/>
  <c r="QV25" i="8"/>
  <c r="QR25" i="8"/>
  <c r="QQ25" i="8"/>
  <c r="QM25" i="8"/>
  <c r="QL25" i="8"/>
  <c r="QH25" i="8"/>
  <c r="QG25" i="8"/>
  <c r="QC25" i="8"/>
  <c r="QB25" i="8"/>
  <c r="PX25" i="8"/>
  <c r="PW25" i="8"/>
  <c r="PS25" i="8"/>
  <c r="PR25" i="8"/>
  <c r="PL25" i="8"/>
  <c r="PK25" i="8"/>
  <c r="PG25" i="8"/>
  <c r="PF25" i="8"/>
  <c r="PB25" i="8"/>
  <c r="PA25" i="8"/>
  <c r="OW25" i="8"/>
  <c r="OV25" i="8"/>
  <c r="OR25" i="8"/>
  <c r="OQ25" i="8"/>
  <c r="OM25" i="8"/>
  <c r="OL25" i="8"/>
  <c r="OH25" i="8"/>
  <c r="OG25" i="8"/>
  <c r="OC25" i="8"/>
  <c r="OB25" i="8"/>
  <c r="NX25" i="8"/>
  <c r="NW25" i="8"/>
  <c r="NS25" i="8"/>
  <c r="NR25" i="8"/>
  <c r="NN25" i="8"/>
  <c r="NM25" i="8"/>
  <c r="NI25" i="8"/>
  <c r="NH25" i="8"/>
  <c r="ND25" i="8"/>
  <c r="NC25" i="8"/>
  <c r="MY25" i="8"/>
  <c r="MX25" i="8"/>
  <c r="MT25" i="8"/>
  <c r="MS25" i="8"/>
  <c r="MO25" i="8"/>
  <c r="MN25" i="8"/>
  <c r="MJ25" i="8"/>
  <c r="MI25" i="8"/>
  <c r="ME25" i="8"/>
  <c r="MD25" i="8"/>
  <c r="LZ25" i="8"/>
  <c r="LY25" i="8"/>
  <c r="LS25" i="8"/>
  <c r="LR25" i="8"/>
  <c r="LN25" i="8"/>
  <c r="LM25" i="8"/>
  <c r="LI25" i="8"/>
  <c r="LH25" i="8"/>
  <c r="LD25" i="8"/>
  <c r="LC25" i="8"/>
  <c r="KY25" i="8"/>
  <c r="KX25" i="8"/>
  <c r="KT25" i="8"/>
  <c r="KS25" i="8"/>
  <c r="KO25" i="8"/>
  <c r="KN25" i="8"/>
  <c r="KJ25" i="8"/>
  <c r="KI25" i="8"/>
  <c r="KE25" i="8"/>
  <c r="KD25" i="8"/>
  <c r="JZ25" i="8"/>
  <c r="JY25" i="8"/>
  <c r="JU25" i="8"/>
  <c r="JT25" i="8"/>
  <c r="JP25" i="8"/>
  <c r="JO25" i="8"/>
  <c r="JK25" i="8"/>
  <c r="JJ25" i="8"/>
  <c r="JF25" i="8"/>
  <c r="JE25" i="8"/>
  <c r="JA25" i="8"/>
  <c r="IZ25" i="8"/>
  <c r="IV25" i="8"/>
  <c r="IU25" i="8"/>
  <c r="IQ25" i="8"/>
  <c r="IP25" i="8"/>
  <c r="IL25" i="8"/>
  <c r="IK25" i="8"/>
  <c r="IG25" i="8"/>
  <c r="IF25" i="8"/>
  <c r="HZ25" i="8"/>
  <c r="HY25" i="8"/>
  <c r="HU25" i="8"/>
  <c r="HT25" i="8"/>
  <c r="HP25" i="8"/>
  <c r="HO25" i="8"/>
  <c r="HK25" i="8"/>
  <c r="HJ25" i="8"/>
  <c r="HF25" i="8"/>
  <c r="HE25" i="8"/>
  <c r="HA25" i="8"/>
  <c r="GZ25" i="8"/>
  <c r="GV25" i="8"/>
  <c r="GU25" i="8"/>
  <c r="GQ25" i="8"/>
  <c r="GP25" i="8"/>
  <c r="GL25" i="8"/>
  <c r="GK25" i="8"/>
  <c r="GG25" i="8"/>
  <c r="GF25" i="8"/>
  <c r="GB25" i="8"/>
  <c r="GA25" i="8"/>
  <c r="FW25" i="8"/>
  <c r="FV25" i="8"/>
  <c r="FR25" i="8"/>
  <c r="FQ25" i="8"/>
  <c r="FM25" i="8"/>
  <c r="FL25" i="8"/>
  <c r="FH25" i="8"/>
  <c r="FG25" i="8"/>
  <c r="FC25" i="8"/>
  <c r="FB25" i="8"/>
  <c r="EX25" i="8"/>
  <c r="EW25" i="8"/>
  <c r="ES25" i="8"/>
  <c r="ER25" i="8"/>
  <c r="EN25" i="8"/>
  <c r="EM25" i="8"/>
  <c r="T25" i="8"/>
  <c r="S25" i="8"/>
  <c r="M25" i="8"/>
  <c r="L25" i="8"/>
  <c r="F25" i="8"/>
  <c r="E25" i="8"/>
  <c r="EG24" i="8"/>
  <c r="EF24" i="8"/>
  <c r="DZ24" i="8"/>
  <c r="DY24" i="8"/>
  <c r="DS24" i="8"/>
  <c r="DR24" i="8"/>
  <c r="DL24" i="8"/>
  <c r="DK24" i="8"/>
  <c r="DG24" i="8"/>
  <c r="DF24" i="8"/>
  <c r="DB24" i="8"/>
  <c r="DA24" i="8"/>
  <c r="CW24" i="8"/>
  <c r="CV24" i="8"/>
  <c r="CR24" i="8"/>
  <c r="CQ24" i="8"/>
  <c r="CM24" i="8"/>
  <c r="CL24" i="8"/>
  <c r="CF24" i="8"/>
  <c r="CE24" i="8"/>
  <c r="CA24" i="8"/>
  <c r="BZ24" i="8"/>
  <c r="BV24" i="8"/>
  <c r="BU24" i="8"/>
  <c r="BQ24" i="8"/>
  <c r="BP24" i="8"/>
  <c r="BL24" i="8"/>
  <c r="BK24" i="8"/>
  <c r="BG24" i="8"/>
  <c r="BF24" i="8"/>
  <c r="AZ24" i="8"/>
  <c r="AY24" i="8"/>
  <c r="AU24" i="8"/>
  <c r="AT24" i="8"/>
  <c r="AP24" i="8"/>
  <c r="AO24" i="8"/>
  <c r="AK24" i="8"/>
  <c r="AJ24" i="8"/>
  <c r="AF24" i="8"/>
  <c r="AE24" i="8"/>
  <c r="AA24" i="8"/>
  <c r="Z24" i="8"/>
  <c r="SP24" i="8"/>
  <c r="SO24" i="8"/>
  <c r="SK24" i="8"/>
  <c r="SJ24" i="8"/>
  <c r="SF24" i="8"/>
  <c r="SE24" i="8"/>
  <c r="SA24" i="8"/>
  <c r="RZ24" i="8"/>
  <c r="RV24" i="8"/>
  <c r="RU24" i="8"/>
  <c r="RQ24" i="8"/>
  <c r="RP24" i="8"/>
  <c r="RL24" i="8"/>
  <c r="RK24" i="8"/>
  <c r="RG24" i="8"/>
  <c r="RF24" i="8"/>
  <c r="RB24" i="8"/>
  <c r="RA24" i="8"/>
  <c r="QW24" i="8"/>
  <c r="QV24" i="8"/>
  <c r="QR24" i="8"/>
  <c r="QQ24" i="8"/>
  <c r="QM24" i="8"/>
  <c r="QL24" i="8"/>
  <c r="QH24" i="8"/>
  <c r="QG24" i="8"/>
  <c r="QC24" i="8"/>
  <c r="QB24" i="8"/>
  <c r="PX24" i="8"/>
  <c r="PW24" i="8"/>
  <c r="PS24" i="8"/>
  <c r="PR24" i="8"/>
  <c r="PL24" i="8"/>
  <c r="PK24" i="8"/>
  <c r="PG24" i="8"/>
  <c r="PF24" i="8"/>
  <c r="PB24" i="8"/>
  <c r="PA24" i="8"/>
  <c r="OW24" i="8"/>
  <c r="OV24" i="8"/>
  <c r="OR24" i="8"/>
  <c r="OQ24" i="8"/>
  <c r="OM24" i="8"/>
  <c r="OL24" i="8"/>
  <c r="OH24" i="8"/>
  <c r="OG24" i="8"/>
  <c r="OC24" i="8"/>
  <c r="OB24" i="8"/>
  <c r="NX24" i="8"/>
  <c r="NW24" i="8"/>
  <c r="NS24" i="8"/>
  <c r="NR24" i="8"/>
  <c r="NN24" i="8"/>
  <c r="NM24" i="8"/>
  <c r="NI24" i="8"/>
  <c r="NH24" i="8"/>
  <c r="ND24" i="8"/>
  <c r="NC24" i="8"/>
  <c r="MY24" i="8"/>
  <c r="MX24" i="8"/>
  <c r="MT24" i="8"/>
  <c r="MS24" i="8"/>
  <c r="MO24" i="8"/>
  <c r="MN24" i="8"/>
  <c r="MJ24" i="8"/>
  <c r="MI24" i="8"/>
  <c r="ME24" i="8"/>
  <c r="MD24" i="8"/>
  <c r="LZ24" i="8"/>
  <c r="LY24" i="8"/>
  <c r="LS24" i="8"/>
  <c r="LR24" i="8"/>
  <c r="LN24" i="8"/>
  <c r="LM24" i="8"/>
  <c r="LI24" i="8"/>
  <c r="LH24" i="8"/>
  <c r="LD24" i="8"/>
  <c r="LC24" i="8"/>
  <c r="KY24" i="8"/>
  <c r="KX24" i="8"/>
  <c r="KT24" i="8"/>
  <c r="KS24" i="8"/>
  <c r="KO24" i="8"/>
  <c r="KN24" i="8"/>
  <c r="KJ24" i="8"/>
  <c r="KI24" i="8"/>
  <c r="KE24" i="8"/>
  <c r="KD24" i="8"/>
  <c r="JZ24" i="8"/>
  <c r="JY24" i="8"/>
  <c r="JU24" i="8"/>
  <c r="JT24" i="8"/>
  <c r="JP24" i="8"/>
  <c r="JO24" i="8"/>
  <c r="JK24" i="8"/>
  <c r="JJ24" i="8"/>
  <c r="JF24" i="8"/>
  <c r="JE24" i="8"/>
  <c r="JA24" i="8"/>
  <c r="IZ24" i="8"/>
  <c r="IV24" i="8"/>
  <c r="IU24" i="8"/>
  <c r="IQ24" i="8"/>
  <c r="IP24" i="8"/>
  <c r="IL24" i="8"/>
  <c r="IK24" i="8"/>
  <c r="IG24" i="8"/>
  <c r="IF24" i="8"/>
  <c r="HZ24" i="8"/>
  <c r="HY24" i="8"/>
  <c r="HU24" i="8"/>
  <c r="HT24" i="8"/>
  <c r="HP24" i="8"/>
  <c r="HO24" i="8"/>
  <c r="HK24" i="8"/>
  <c r="HJ24" i="8"/>
  <c r="HF24" i="8"/>
  <c r="HE24" i="8"/>
  <c r="HA24" i="8"/>
  <c r="GZ24" i="8"/>
  <c r="GV24" i="8"/>
  <c r="GU24" i="8"/>
  <c r="GQ24" i="8"/>
  <c r="GP24" i="8"/>
  <c r="GL24" i="8"/>
  <c r="GK24" i="8"/>
  <c r="GG24" i="8"/>
  <c r="GF24" i="8"/>
  <c r="GB24" i="8"/>
  <c r="GA24" i="8"/>
  <c r="FW24" i="8"/>
  <c r="FV24" i="8"/>
  <c r="FR24" i="8"/>
  <c r="FQ24" i="8"/>
  <c r="FM24" i="8"/>
  <c r="FL24" i="8"/>
  <c r="FH24" i="8"/>
  <c r="FG24" i="8"/>
  <c r="FC24" i="8"/>
  <c r="FB24" i="8"/>
  <c r="EX24" i="8"/>
  <c r="EW24" i="8"/>
  <c r="ES24" i="8"/>
  <c r="ER24" i="8"/>
  <c r="EN24" i="8"/>
  <c r="EM24" i="8"/>
  <c r="T24" i="8"/>
  <c r="S24" i="8"/>
  <c r="M24" i="8"/>
  <c r="L24" i="8"/>
  <c r="F24" i="8"/>
  <c r="E24" i="8"/>
  <c r="EG23" i="8"/>
  <c r="EF23" i="8"/>
  <c r="DZ23" i="8"/>
  <c r="DY23" i="8"/>
  <c r="DS23" i="8"/>
  <c r="DR23" i="8"/>
  <c r="DL23" i="8"/>
  <c r="DK23" i="8"/>
  <c r="DG23" i="8"/>
  <c r="DF23" i="8"/>
  <c r="DB23" i="8"/>
  <c r="DA23" i="8"/>
  <c r="CW23" i="8"/>
  <c r="CV23" i="8"/>
  <c r="CR23" i="8"/>
  <c r="CQ23" i="8"/>
  <c r="CM23" i="8"/>
  <c r="CL23" i="8"/>
  <c r="CF23" i="8"/>
  <c r="CE23" i="8"/>
  <c r="CA23" i="8"/>
  <c r="BZ23" i="8"/>
  <c r="BV23" i="8"/>
  <c r="BU23" i="8"/>
  <c r="BQ23" i="8"/>
  <c r="BP23" i="8"/>
  <c r="BL23" i="8"/>
  <c r="BK23" i="8"/>
  <c r="BG23" i="8"/>
  <c r="BF23" i="8"/>
  <c r="AZ23" i="8"/>
  <c r="AY23" i="8"/>
  <c r="AU23" i="8"/>
  <c r="AT23" i="8"/>
  <c r="AP23" i="8"/>
  <c r="AO23" i="8"/>
  <c r="AK23" i="8"/>
  <c r="AJ23" i="8"/>
  <c r="AF23" i="8"/>
  <c r="AE23" i="8"/>
  <c r="AA23" i="8"/>
  <c r="Z23" i="8"/>
  <c r="SP23" i="8"/>
  <c r="SO23" i="8"/>
  <c r="SK23" i="8"/>
  <c r="SJ23" i="8"/>
  <c r="SF23" i="8"/>
  <c r="SE23" i="8"/>
  <c r="SA23" i="8"/>
  <c r="RZ23" i="8"/>
  <c r="RV23" i="8"/>
  <c r="RU23" i="8"/>
  <c r="RQ23" i="8"/>
  <c r="RP23" i="8"/>
  <c r="RL23" i="8"/>
  <c r="RK23" i="8"/>
  <c r="RG23" i="8"/>
  <c r="RF23" i="8"/>
  <c r="RB23" i="8"/>
  <c r="RA23" i="8"/>
  <c r="QW23" i="8"/>
  <c r="QV23" i="8"/>
  <c r="QR23" i="8"/>
  <c r="QQ23" i="8"/>
  <c r="QM23" i="8"/>
  <c r="QL23" i="8"/>
  <c r="QH23" i="8"/>
  <c r="QG23" i="8"/>
  <c r="QC23" i="8"/>
  <c r="QB23" i="8"/>
  <c r="PX23" i="8"/>
  <c r="PW23" i="8"/>
  <c r="PS23" i="8"/>
  <c r="PR23" i="8"/>
  <c r="PL23" i="8"/>
  <c r="PK23" i="8"/>
  <c r="PG23" i="8"/>
  <c r="PF23" i="8"/>
  <c r="PB23" i="8"/>
  <c r="PA23" i="8"/>
  <c r="OW23" i="8"/>
  <c r="OV23" i="8"/>
  <c r="OR23" i="8"/>
  <c r="OQ23" i="8"/>
  <c r="OM23" i="8"/>
  <c r="OL23" i="8"/>
  <c r="OH23" i="8"/>
  <c r="OG23" i="8"/>
  <c r="OC23" i="8"/>
  <c r="OB23" i="8"/>
  <c r="NX23" i="8"/>
  <c r="NW23" i="8"/>
  <c r="NS23" i="8"/>
  <c r="NR23" i="8"/>
  <c r="NN23" i="8"/>
  <c r="NM23" i="8"/>
  <c r="NI23" i="8"/>
  <c r="NH23" i="8"/>
  <c r="ND23" i="8"/>
  <c r="NC23" i="8"/>
  <c r="MY23" i="8"/>
  <c r="MX23" i="8"/>
  <c r="MT23" i="8"/>
  <c r="MS23" i="8"/>
  <c r="MO23" i="8"/>
  <c r="MN23" i="8"/>
  <c r="MJ23" i="8"/>
  <c r="MI23" i="8"/>
  <c r="ME23" i="8"/>
  <c r="MD23" i="8"/>
  <c r="LZ23" i="8"/>
  <c r="LY23" i="8"/>
  <c r="LS23" i="8"/>
  <c r="LR23" i="8"/>
  <c r="LN23" i="8"/>
  <c r="LM23" i="8"/>
  <c r="LI23" i="8"/>
  <c r="LH23" i="8"/>
  <c r="LD23" i="8"/>
  <c r="LC23" i="8"/>
  <c r="KY23" i="8"/>
  <c r="KX23" i="8"/>
  <c r="KT23" i="8"/>
  <c r="KS23" i="8"/>
  <c r="KO23" i="8"/>
  <c r="KN23" i="8"/>
  <c r="KJ23" i="8"/>
  <c r="KI23" i="8"/>
  <c r="KE23" i="8"/>
  <c r="KD23" i="8"/>
  <c r="JZ23" i="8"/>
  <c r="JY23" i="8"/>
  <c r="JU23" i="8"/>
  <c r="JT23" i="8"/>
  <c r="JP23" i="8"/>
  <c r="JO23" i="8"/>
  <c r="JK23" i="8"/>
  <c r="JJ23" i="8"/>
  <c r="JF23" i="8"/>
  <c r="JE23" i="8"/>
  <c r="JA23" i="8"/>
  <c r="IZ23" i="8"/>
  <c r="IV23" i="8"/>
  <c r="IU23" i="8"/>
  <c r="IQ23" i="8"/>
  <c r="IP23" i="8"/>
  <c r="IL23" i="8"/>
  <c r="IK23" i="8"/>
  <c r="IG23" i="8"/>
  <c r="IF23" i="8"/>
  <c r="HZ23" i="8"/>
  <c r="HY23" i="8"/>
  <c r="HU23" i="8"/>
  <c r="HT23" i="8"/>
  <c r="HP23" i="8"/>
  <c r="HO23" i="8"/>
  <c r="HK23" i="8"/>
  <c r="HJ23" i="8"/>
  <c r="HF23" i="8"/>
  <c r="HE23" i="8"/>
  <c r="HA23" i="8"/>
  <c r="GZ23" i="8"/>
  <c r="GV23" i="8"/>
  <c r="GU23" i="8"/>
  <c r="GQ23" i="8"/>
  <c r="GP23" i="8"/>
  <c r="GL23" i="8"/>
  <c r="GK23" i="8"/>
  <c r="GG23" i="8"/>
  <c r="GF23" i="8"/>
  <c r="GB23" i="8"/>
  <c r="GA23" i="8"/>
  <c r="FW23" i="8"/>
  <c r="FV23" i="8"/>
  <c r="FR23" i="8"/>
  <c r="FQ23" i="8"/>
  <c r="FM23" i="8"/>
  <c r="FL23" i="8"/>
  <c r="FH23" i="8"/>
  <c r="FG23" i="8"/>
  <c r="FC23" i="8"/>
  <c r="FB23" i="8"/>
  <c r="EX23" i="8"/>
  <c r="EW23" i="8"/>
  <c r="ES23" i="8"/>
  <c r="ER23" i="8"/>
  <c r="EN23" i="8"/>
  <c r="EM23" i="8"/>
  <c r="T23" i="8"/>
  <c r="S23" i="8"/>
  <c r="M23" i="8"/>
  <c r="L23" i="8"/>
  <c r="F23" i="8"/>
  <c r="E23" i="8"/>
  <c r="EG22" i="8"/>
  <c r="EF22" i="8"/>
  <c r="DZ22" i="8"/>
  <c r="DY22" i="8"/>
  <c r="DS22" i="8"/>
  <c r="DR22" i="8"/>
  <c r="DL22" i="8"/>
  <c r="DK22" i="8"/>
  <c r="DG22" i="8"/>
  <c r="DF22" i="8"/>
  <c r="DB22" i="8"/>
  <c r="DA22" i="8"/>
  <c r="CW22" i="8"/>
  <c r="CV22" i="8"/>
  <c r="CR22" i="8"/>
  <c r="CQ22" i="8"/>
  <c r="CM22" i="8"/>
  <c r="CL22" i="8"/>
  <c r="CF22" i="8"/>
  <c r="CE22" i="8"/>
  <c r="CA22" i="8"/>
  <c r="BZ22" i="8"/>
  <c r="BV22" i="8"/>
  <c r="BU22" i="8"/>
  <c r="BQ22" i="8"/>
  <c r="BP22" i="8"/>
  <c r="BL22" i="8"/>
  <c r="BK22" i="8"/>
  <c r="BG22" i="8"/>
  <c r="BF22" i="8"/>
  <c r="AZ22" i="8"/>
  <c r="AY22" i="8"/>
  <c r="AU22" i="8"/>
  <c r="AT22" i="8"/>
  <c r="AP22" i="8"/>
  <c r="AO22" i="8"/>
  <c r="AK22" i="8"/>
  <c r="AJ22" i="8"/>
  <c r="AF22" i="8"/>
  <c r="AE22" i="8"/>
  <c r="AA22" i="8"/>
  <c r="Z22" i="8"/>
  <c r="SP22" i="8"/>
  <c r="SO22" i="8"/>
  <c r="SK22" i="8"/>
  <c r="SJ22" i="8"/>
  <c r="SF22" i="8"/>
  <c r="SE22" i="8"/>
  <c r="SA22" i="8"/>
  <c r="RZ22" i="8"/>
  <c r="RV22" i="8"/>
  <c r="RU22" i="8"/>
  <c r="RQ22" i="8"/>
  <c r="RP22" i="8"/>
  <c r="RL22" i="8"/>
  <c r="RK22" i="8"/>
  <c r="RG22" i="8"/>
  <c r="RF22" i="8"/>
  <c r="RB22" i="8"/>
  <c r="RA22" i="8"/>
  <c r="QW22" i="8"/>
  <c r="QV22" i="8"/>
  <c r="QR22" i="8"/>
  <c r="QQ22" i="8"/>
  <c r="QM22" i="8"/>
  <c r="QL22" i="8"/>
  <c r="QH22" i="8"/>
  <c r="QG22" i="8"/>
  <c r="QC22" i="8"/>
  <c r="QB22" i="8"/>
  <c r="PX22" i="8"/>
  <c r="PW22" i="8"/>
  <c r="PS22" i="8"/>
  <c r="PR22" i="8"/>
  <c r="PL22" i="8"/>
  <c r="PK22" i="8"/>
  <c r="PG22" i="8"/>
  <c r="PF22" i="8"/>
  <c r="PB22" i="8"/>
  <c r="PA22" i="8"/>
  <c r="OW22" i="8"/>
  <c r="OV22" i="8"/>
  <c r="OR22" i="8"/>
  <c r="OQ22" i="8"/>
  <c r="OM22" i="8"/>
  <c r="OL22" i="8"/>
  <c r="OH22" i="8"/>
  <c r="OG22" i="8"/>
  <c r="OC22" i="8"/>
  <c r="OB22" i="8"/>
  <c r="NX22" i="8"/>
  <c r="NW22" i="8"/>
  <c r="NS22" i="8"/>
  <c r="NR22" i="8"/>
  <c r="NN22" i="8"/>
  <c r="NM22" i="8"/>
  <c r="NI22" i="8"/>
  <c r="NH22" i="8"/>
  <c r="ND22" i="8"/>
  <c r="NC22" i="8"/>
  <c r="MY22" i="8"/>
  <c r="MX22" i="8"/>
  <c r="MT22" i="8"/>
  <c r="MS22" i="8"/>
  <c r="MO22" i="8"/>
  <c r="MN22" i="8"/>
  <c r="MJ22" i="8"/>
  <c r="MI22" i="8"/>
  <c r="ME22" i="8"/>
  <c r="MD22" i="8"/>
  <c r="LZ22" i="8"/>
  <c r="LY22" i="8"/>
  <c r="LS22" i="8"/>
  <c r="LR22" i="8"/>
  <c r="LN22" i="8"/>
  <c r="LM22" i="8"/>
  <c r="LI22" i="8"/>
  <c r="LH22" i="8"/>
  <c r="LD22" i="8"/>
  <c r="LC22" i="8"/>
  <c r="KY22" i="8"/>
  <c r="KX22" i="8"/>
  <c r="KT22" i="8"/>
  <c r="KS22" i="8"/>
  <c r="KO22" i="8"/>
  <c r="KN22" i="8"/>
  <c r="KJ22" i="8"/>
  <c r="KI22" i="8"/>
  <c r="KE22" i="8"/>
  <c r="KD22" i="8"/>
  <c r="JZ22" i="8"/>
  <c r="JY22" i="8"/>
  <c r="JU22" i="8"/>
  <c r="JT22" i="8"/>
  <c r="JP22" i="8"/>
  <c r="JO22" i="8"/>
  <c r="JK22" i="8"/>
  <c r="JJ22" i="8"/>
  <c r="JF22" i="8"/>
  <c r="JE22" i="8"/>
  <c r="JA22" i="8"/>
  <c r="IZ22" i="8"/>
  <c r="IV22" i="8"/>
  <c r="IU22" i="8"/>
  <c r="IQ22" i="8"/>
  <c r="IP22" i="8"/>
  <c r="IL22" i="8"/>
  <c r="IK22" i="8"/>
  <c r="IG22" i="8"/>
  <c r="IF22" i="8"/>
  <c r="HZ22" i="8"/>
  <c r="HY22" i="8"/>
  <c r="HU22" i="8"/>
  <c r="HT22" i="8"/>
  <c r="HP22" i="8"/>
  <c r="HO22" i="8"/>
  <c r="HK22" i="8"/>
  <c r="HJ22" i="8"/>
  <c r="HF22" i="8"/>
  <c r="HE22" i="8"/>
  <c r="HA22" i="8"/>
  <c r="GZ22" i="8"/>
  <c r="GV22" i="8"/>
  <c r="GU22" i="8"/>
  <c r="GQ22" i="8"/>
  <c r="GP22" i="8"/>
  <c r="GL22" i="8"/>
  <c r="GK22" i="8"/>
  <c r="GG22" i="8"/>
  <c r="GF22" i="8"/>
  <c r="GB22" i="8"/>
  <c r="GA22" i="8"/>
  <c r="FW22" i="8"/>
  <c r="FV22" i="8"/>
  <c r="FR22" i="8"/>
  <c r="FQ22" i="8"/>
  <c r="FM22" i="8"/>
  <c r="FL22" i="8"/>
  <c r="FH22" i="8"/>
  <c r="FG22" i="8"/>
  <c r="FC22" i="8"/>
  <c r="FB22" i="8"/>
  <c r="EX22" i="8"/>
  <c r="EW22" i="8"/>
  <c r="ES22" i="8"/>
  <c r="ER22" i="8"/>
  <c r="EN22" i="8"/>
  <c r="EM22" i="8"/>
  <c r="T22" i="8"/>
  <c r="S22" i="8"/>
  <c r="M22" i="8"/>
  <c r="L22" i="8"/>
  <c r="F22" i="8"/>
  <c r="E22" i="8"/>
  <c r="EG21" i="8"/>
  <c r="EF21" i="8"/>
  <c r="DZ21" i="8"/>
  <c r="DY21" i="8"/>
  <c r="DS21" i="8"/>
  <c r="DR21" i="8"/>
  <c r="DL21" i="8"/>
  <c r="DK21" i="8"/>
  <c r="DG21" i="8"/>
  <c r="DF21" i="8"/>
  <c r="DB21" i="8"/>
  <c r="DA21" i="8"/>
  <c r="CW21" i="8"/>
  <c r="CV21" i="8"/>
  <c r="CR21" i="8"/>
  <c r="CQ21" i="8"/>
  <c r="CM21" i="8"/>
  <c r="CL21" i="8"/>
  <c r="CF21" i="8"/>
  <c r="CE21" i="8"/>
  <c r="CA21" i="8"/>
  <c r="BZ21" i="8"/>
  <c r="BV21" i="8"/>
  <c r="BU21" i="8"/>
  <c r="BQ21" i="8"/>
  <c r="BP21" i="8"/>
  <c r="BL21" i="8"/>
  <c r="BK21" i="8"/>
  <c r="BG21" i="8"/>
  <c r="BF21" i="8"/>
  <c r="AZ21" i="8"/>
  <c r="AY21" i="8"/>
  <c r="AU21" i="8"/>
  <c r="AT21" i="8"/>
  <c r="AP21" i="8"/>
  <c r="AO21" i="8"/>
  <c r="AK21" i="8"/>
  <c r="AJ21" i="8"/>
  <c r="AF21" i="8"/>
  <c r="AE21" i="8"/>
  <c r="AA21" i="8"/>
  <c r="Z21" i="8"/>
  <c r="SP21" i="8"/>
  <c r="SO21" i="8"/>
  <c r="SK21" i="8"/>
  <c r="SJ21" i="8"/>
  <c r="SF21" i="8"/>
  <c r="SE21" i="8"/>
  <c r="SA21" i="8"/>
  <c r="RZ21" i="8"/>
  <c r="RV21" i="8"/>
  <c r="RU21" i="8"/>
  <c r="RQ21" i="8"/>
  <c r="RP21" i="8"/>
  <c r="RL21" i="8"/>
  <c r="RK21" i="8"/>
  <c r="RG21" i="8"/>
  <c r="RF21" i="8"/>
  <c r="RB21" i="8"/>
  <c r="RA21" i="8"/>
  <c r="QW21" i="8"/>
  <c r="QV21" i="8"/>
  <c r="QR21" i="8"/>
  <c r="QQ21" i="8"/>
  <c r="QM21" i="8"/>
  <c r="QL21" i="8"/>
  <c r="QH21" i="8"/>
  <c r="QG21" i="8"/>
  <c r="QC21" i="8"/>
  <c r="QB21" i="8"/>
  <c r="PX21" i="8"/>
  <c r="PW21" i="8"/>
  <c r="PS21" i="8"/>
  <c r="PR21" i="8"/>
  <c r="PL21" i="8"/>
  <c r="PK21" i="8"/>
  <c r="PG21" i="8"/>
  <c r="PF21" i="8"/>
  <c r="PB21" i="8"/>
  <c r="PA21" i="8"/>
  <c r="OW21" i="8"/>
  <c r="OV21" i="8"/>
  <c r="OR21" i="8"/>
  <c r="OQ21" i="8"/>
  <c r="OM21" i="8"/>
  <c r="OL21" i="8"/>
  <c r="OH21" i="8"/>
  <c r="OG21" i="8"/>
  <c r="OC21" i="8"/>
  <c r="OB21" i="8"/>
  <c r="NX21" i="8"/>
  <c r="NW21" i="8"/>
  <c r="NS21" i="8"/>
  <c r="NR21" i="8"/>
  <c r="NN21" i="8"/>
  <c r="NM21" i="8"/>
  <c r="NI21" i="8"/>
  <c r="NH21" i="8"/>
  <c r="ND21" i="8"/>
  <c r="NC21" i="8"/>
  <c r="MY21" i="8"/>
  <c r="MX21" i="8"/>
  <c r="MT21" i="8"/>
  <c r="MS21" i="8"/>
  <c r="MO21" i="8"/>
  <c r="MN21" i="8"/>
  <c r="MJ21" i="8"/>
  <c r="MI21" i="8"/>
  <c r="ME21" i="8"/>
  <c r="MD21" i="8"/>
  <c r="LZ21" i="8"/>
  <c r="LY21" i="8"/>
  <c r="LS21" i="8"/>
  <c r="LR21" i="8"/>
  <c r="LN21" i="8"/>
  <c r="LM21" i="8"/>
  <c r="LI21" i="8"/>
  <c r="LH21" i="8"/>
  <c r="LD21" i="8"/>
  <c r="LC21" i="8"/>
  <c r="KY21" i="8"/>
  <c r="KX21" i="8"/>
  <c r="KT21" i="8"/>
  <c r="KS21" i="8"/>
  <c r="KO21" i="8"/>
  <c r="KN21" i="8"/>
  <c r="KJ21" i="8"/>
  <c r="KI21" i="8"/>
  <c r="KE21" i="8"/>
  <c r="KD21" i="8"/>
  <c r="JZ21" i="8"/>
  <c r="JY21" i="8"/>
  <c r="JU21" i="8"/>
  <c r="JT21" i="8"/>
  <c r="JP21" i="8"/>
  <c r="JO21" i="8"/>
  <c r="JK21" i="8"/>
  <c r="JJ21" i="8"/>
  <c r="JF21" i="8"/>
  <c r="JE21" i="8"/>
  <c r="JA21" i="8"/>
  <c r="IZ21" i="8"/>
  <c r="IV21" i="8"/>
  <c r="IU21" i="8"/>
  <c r="IQ21" i="8"/>
  <c r="IP21" i="8"/>
  <c r="IL21" i="8"/>
  <c r="IK21" i="8"/>
  <c r="IG21" i="8"/>
  <c r="IF21" i="8"/>
  <c r="HZ21" i="8"/>
  <c r="HY21" i="8"/>
  <c r="HU21" i="8"/>
  <c r="HT21" i="8"/>
  <c r="HP21" i="8"/>
  <c r="HO21" i="8"/>
  <c r="HK21" i="8"/>
  <c r="HJ21" i="8"/>
  <c r="HF21" i="8"/>
  <c r="HE21" i="8"/>
  <c r="HA21" i="8"/>
  <c r="GZ21" i="8"/>
  <c r="GV21" i="8"/>
  <c r="GU21" i="8"/>
  <c r="GQ21" i="8"/>
  <c r="GP21" i="8"/>
  <c r="GL21" i="8"/>
  <c r="GK21" i="8"/>
  <c r="GG21" i="8"/>
  <c r="GF21" i="8"/>
  <c r="GB21" i="8"/>
  <c r="GA21" i="8"/>
  <c r="FW21" i="8"/>
  <c r="FV21" i="8"/>
  <c r="FR21" i="8"/>
  <c r="FQ21" i="8"/>
  <c r="FM21" i="8"/>
  <c r="FL21" i="8"/>
  <c r="FH21" i="8"/>
  <c r="FG21" i="8"/>
  <c r="FC21" i="8"/>
  <c r="FB21" i="8"/>
  <c r="EX21" i="8"/>
  <c r="EW21" i="8"/>
  <c r="ES21" i="8"/>
  <c r="ER21" i="8"/>
  <c r="EN21" i="8"/>
  <c r="EM21" i="8"/>
  <c r="T21" i="8"/>
  <c r="S21" i="8"/>
  <c r="M21" i="8"/>
  <c r="L21" i="8"/>
  <c r="F21" i="8"/>
  <c r="E21" i="8"/>
  <c r="EG20" i="8"/>
  <c r="EF20" i="8"/>
  <c r="DZ20" i="8"/>
  <c r="DY20" i="8"/>
  <c r="DS20" i="8"/>
  <c r="DR20" i="8"/>
  <c r="DL20" i="8"/>
  <c r="DK20" i="8"/>
  <c r="DG20" i="8"/>
  <c r="DF20" i="8"/>
  <c r="DB20" i="8"/>
  <c r="DA20" i="8"/>
  <c r="CW20" i="8"/>
  <c r="CV20" i="8"/>
  <c r="CR20" i="8"/>
  <c r="CQ20" i="8"/>
  <c r="CM20" i="8"/>
  <c r="CL20" i="8"/>
  <c r="CF20" i="8"/>
  <c r="CE20" i="8"/>
  <c r="CA20" i="8"/>
  <c r="BZ20" i="8"/>
  <c r="BV20" i="8"/>
  <c r="BU20" i="8"/>
  <c r="BQ20" i="8"/>
  <c r="BP20" i="8"/>
  <c r="BL20" i="8"/>
  <c r="BK20" i="8"/>
  <c r="BG20" i="8"/>
  <c r="BF20" i="8"/>
  <c r="AZ20" i="8"/>
  <c r="AY20" i="8"/>
  <c r="AU20" i="8"/>
  <c r="AT20" i="8"/>
  <c r="AP20" i="8"/>
  <c r="AO20" i="8"/>
  <c r="AK20" i="8"/>
  <c r="AJ20" i="8"/>
  <c r="AF20" i="8"/>
  <c r="AE20" i="8"/>
  <c r="AA20" i="8"/>
  <c r="Z20" i="8"/>
  <c r="SP20" i="8"/>
  <c r="SO20" i="8"/>
  <c r="SK20" i="8"/>
  <c r="SJ20" i="8"/>
  <c r="SF20" i="8"/>
  <c r="SE20" i="8"/>
  <c r="SA20" i="8"/>
  <c r="RZ20" i="8"/>
  <c r="RV20" i="8"/>
  <c r="RU20" i="8"/>
  <c r="RQ20" i="8"/>
  <c r="RP20" i="8"/>
  <c r="RL20" i="8"/>
  <c r="RK20" i="8"/>
  <c r="RG20" i="8"/>
  <c r="RF20" i="8"/>
  <c r="RB20" i="8"/>
  <c r="RA20" i="8"/>
  <c r="QW20" i="8"/>
  <c r="QV20" i="8"/>
  <c r="QR20" i="8"/>
  <c r="QQ20" i="8"/>
  <c r="QM20" i="8"/>
  <c r="QL20" i="8"/>
  <c r="QH20" i="8"/>
  <c r="QG20" i="8"/>
  <c r="QC20" i="8"/>
  <c r="QB20" i="8"/>
  <c r="PX20" i="8"/>
  <c r="PW20" i="8"/>
  <c r="PS20" i="8"/>
  <c r="PR20" i="8"/>
  <c r="PL20" i="8"/>
  <c r="PK20" i="8"/>
  <c r="PG20" i="8"/>
  <c r="PF20" i="8"/>
  <c r="PB20" i="8"/>
  <c r="PA20" i="8"/>
  <c r="OW20" i="8"/>
  <c r="OV20" i="8"/>
  <c r="OR20" i="8"/>
  <c r="OQ20" i="8"/>
  <c r="OM20" i="8"/>
  <c r="OL20" i="8"/>
  <c r="OH20" i="8"/>
  <c r="OG20" i="8"/>
  <c r="OC20" i="8"/>
  <c r="OB20" i="8"/>
  <c r="NX20" i="8"/>
  <c r="NW20" i="8"/>
  <c r="NS20" i="8"/>
  <c r="NR20" i="8"/>
  <c r="NN20" i="8"/>
  <c r="NM20" i="8"/>
  <c r="NI20" i="8"/>
  <c r="NH20" i="8"/>
  <c r="ND20" i="8"/>
  <c r="NC20" i="8"/>
  <c r="MY20" i="8"/>
  <c r="MX20" i="8"/>
  <c r="MT20" i="8"/>
  <c r="MS20" i="8"/>
  <c r="MO20" i="8"/>
  <c r="MN20" i="8"/>
  <c r="MJ20" i="8"/>
  <c r="MI20" i="8"/>
  <c r="ME20" i="8"/>
  <c r="MD20" i="8"/>
  <c r="LZ20" i="8"/>
  <c r="LY20" i="8"/>
  <c r="LS20" i="8"/>
  <c r="LR20" i="8"/>
  <c r="LN20" i="8"/>
  <c r="LM20" i="8"/>
  <c r="LI20" i="8"/>
  <c r="LH20" i="8"/>
  <c r="LD20" i="8"/>
  <c r="LC20" i="8"/>
  <c r="KY20" i="8"/>
  <c r="KX20" i="8"/>
  <c r="KT20" i="8"/>
  <c r="KS20" i="8"/>
  <c r="KO20" i="8"/>
  <c r="KN20" i="8"/>
  <c r="KJ20" i="8"/>
  <c r="KI20" i="8"/>
  <c r="KE20" i="8"/>
  <c r="KD20" i="8"/>
  <c r="JZ20" i="8"/>
  <c r="JY20" i="8"/>
  <c r="JU20" i="8"/>
  <c r="JT20" i="8"/>
  <c r="JP20" i="8"/>
  <c r="JO20" i="8"/>
  <c r="JK20" i="8"/>
  <c r="JJ20" i="8"/>
  <c r="JF20" i="8"/>
  <c r="JE20" i="8"/>
  <c r="JA20" i="8"/>
  <c r="IZ20" i="8"/>
  <c r="IV20" i="8"/>
  <c r="IU20" i="8"/>
  <c r="IQ20" i="8"/>
  <c r="IP20" i="8"/>
  <c r="IL20" i="8"/>
  <c r="IK20" i="8"/>
  <c r="IG20" i="8"/>
  <c r="IF20" i="8"/>
  <c r="HZ20" i="8"/>
  <c r="HY20" i="8"/>
  <c r="HU20" i="8"/>
  <c r="HT20" i="8"/>
  <c r="HP20" i="8"/>
  <c r="HO20" i="8"/>
  <c r="HK20" i="8"/>
  <c r="HJ20" i="8"/>
  <c r="HF20" i="8"/>
  <c r="HE20" i="8"/>
  <c r="HA20" i="8"/>
  <c r="GZ20" i="8"/>
  <c r="GV20" i="8"/>
  <c r="GU20" i="8"/>
  <c r="GQ20" i="8"/>
  <c r="GP20" i="8"/>
  <c r="GL20" i="8"/>
  <c r="GK20" i="8"/>
  <c r="GG20" i="8"/>
  <c r="GF20" i="8"/>
  <c r="GB20" i="8"/>
  <c r="GA20" i="8"/>
  <c r="FW20" i="8"/>
  <c r="FV20" i="8"/>
  <c r="FR20" i="8"/>
  <c r="FQ20" i="8"/>
  <c r="FM20" i="8"/>
  <c r="FL20" i="8"/>
  <c r="FH20" i="8"/>
  <c r="FG20" i="8"/>
  <c r="FC20" i="8"/>
  <c r="FB20" i="8"/>
  <c r="EX20" i="8"/>
  <c r="EW20" i="8"/>
  <c r="ES20" i="8"/>
  <c r="ER20" i="8"/>
  <c r="EN20" i="8"/>
  <c r="EM20" i="8"/>
  <c r="T20" i="8"/>
  <c r="S20" i="8"/>
  <c r="M20" i="8"/>
  <c r="L20" i="8"/>
  <c r="F20" i="8"/>
  <c r="E20" i="8"/>
  <c r="EG19" i="8"/>
  <c r="EF19" i="8"/>
  <c r="DZ19" i="8"/>
  <c r="DY19" i="8"/>
  <c r="DS19" i="8"/>
  <c r="DR19" i="8"/>
  <c r="DL19" i="8"/>
  <c r="DK19" i="8"/>
  <c r="DG19" i="8"/>
  <c r="DF19" i="8"/>
  <c r="DB19" i="8"/>
  <c r="DA19" i="8"/>
  <c r="CW19" i="8"/>
  <c r="CV19" i="8"/>
  <c r="CR19" i="8"/>
  <c r="CQ19" i="8"/>
  <c r="CM19" i="8"/>
  <c r="CL19" i="8"/>
  <c r="CF19" i="8"/>
  <c r="CE19" i="8"/>
  <c r="CA19" i="8"/>
  <c r="BZ19" i="8"/>
  <c r="BV19" i="8"/>
  <c r="BU19" i="8"/>
  <c r="BQ19" i="8"/>
  <c r="BP19" i="8"/>
  <c r="BL19" i="8"/>
  <c r="BK19" i="8"/>
  <c r="BG19" i="8"/>
  <c r="BF19" i="8"/>
  <c r="AZ19" i="8"/>
  <c r="AY19" i="8"/>
  <c r="AU19" i="8"/>
  <c r="AT19" i="8"/>
  <c r="AP19" i="8"/>
  <c r="AO19" i="8"/>
  <c r="AK19" i="8"/>
  <c r="AJ19" i="8"/>
  <c r="AF19" i="8"/>
  <c r="AE19" i="8"/>
  <c r="AA19" i="8"/>
  <c r="Z19" i="8"/>
  <c r="SP19" i="8"/>
  <c r="SO19" i="8"/>
  <c r="SK19" i="8"/>
  <c r="SJ19" i="8"/>
  <c r="SF19" i="8"/>
  <c r="SE19" i="8"/>
  <c r="SA19" i="8"/>
  <c r="RZ19" i="8"/>
  <c r="RV19" i="8"/>
  <c r="RU19" i="8"/>
  <c r="RQ19" i="8"/>
  <c r="RP19" i="8"/>
  <c r="RL19" i="8"/>
  <c r="RK19" i="8"/>
  <c r="RG19" i="8"/>
  <c r="RF19" i="8"/>
  <c r="RB19" i="8"/>
  <c r="RA19" i="8"/>
  <c r="QW19" i="8"/>
  <c r="QV19" i="8"/>
  <c r="QR19" i="8"/>
  <c r="QQ19" i="8"/>
  <c r="QM19" i="8"/>
  <c r="QL19" i="8"/>
  <c r="QH19" i="8"/>
  <c r="QG19" i="8"/>
  <c r="QC19" i="8"/>
  <c r="QB19" i="8"/>
  <c r="PX19" i="8"/>
  <c r="PW19" i="8"/>
  <c r="PS19" i="8"/>
  <c r="PR19" i="8"/>
  <c r="PL19" i="8"/>
  <c r="PK19" i="8"/>
  <c r="PG19" i="8"/>
  <c r="PF19" i="8"/>
  <c r="PB19" i="8"/>
  <c r="PA19" i="8"/>
  <c r="OW19" i="8"/>
  <c r="OV19" i="8"/>
  <c r="OR19" i="8"/>
  <c r="OQ19" i="8"/>
  <c r="OM19" i="8"/>
  <c r="OL19" i="8"/>
  <c r="OH19" i="8"/>
  <c r="OG19" i="8"/>
  <c r="OC19" i="8"/>
  <c r="OB19" i="8"/>
  <c r="NX19" i="8"/>
  <c r="NW19" i="8"/>
  <c r="NS19" i="8"/>
  <c r="NR19" i="8"/>
  <c r="NN19" i="8"/>
  <c r="NM19" i="8"/>
  <c r="NI19" i="8"/>
  <c r="NH19" i="8"/>
  <c r="ND19" i="8"/>
  <c r="NC19" i="8"/>
  <c r="MY19" i="8"/>
  <c r="MX19" i="8"/>
  <c r="MT19" i="8"/>
  <c r="MS19" i="8"/>
  <c r="MO19" i="8"/>
  <c r="MN19" i="8"/>
  <c r="MJ19" i="8"/>
  <c r="MI19" i="8"/>
  <c r="ME19" i="8"/>
  <c r="MD19" i="8"/>
  <c r="LZ19" i="8"/>
  <c r="LY19" i="8"/>
  <c r="LS19" i="8"/>
  <c r="LR19" i="8"/>
  <c r="LN19" i="8"/>
  <c r="LM19" i="8"/>
  <c r="LI19" i="8"/>
  <c r="LH19" i="8"/>
  <c r="LD19" i="8"/>
  <c r="LC19" i="8"/>
  <c r="KY19" i="8"/>
  <c r="KX19" i="8"/>
  <c r="KT19" i="8"/>
  <c r="KS19" i="8"/>
  <c r="KO19" i="8"/>
  <c r="KN19" i="8"/>
  <c r="KJ19" i="8"/>
  <c r="KI19" i="8"/>
  <c r="KE19" i="8"/>
  <c r="KD19" i="8"/>
  <c r="JZ19" i="8"/>
  <c r="JY19" i="8"/>
  <c r="JU19" i="8"/>
  <c r="JT19" i="8"/>
  <c r="JP19" i="8"/>
  <c r="JO19" i="8"/>
  <c r="JK19" i="8"/>
  <c r="JJ19" i="8"/>
  <c r="JF19" i="8"/>
  <c r="JE19" i="8"/>
  <c r="JA19" i="8"/>
  <c r="IZ19" i="8"/>
  <c r="IV19" i="8"/>
  <c r="IU19" i="8"/>
  <c r="IQ19" i="8"/>
  <c r="IP19" i="8"/>
  <c r="IL19" i="8"/>
  <c r="IK19" i="8"/>
  <c r="IG19" i="8"/>
  <c r="IF19" i="8"/>
  <c r="HZ19" i="8"/>
  <c r="HY19" i="8"/>
  <c r="HU19" i="8"/>
  <c r="HT19" i="8"/>
  <c r="HP19" i="8"/>
  <c r="HO19" i="8"/>
  <c r="HK19" i="8"/>
  <c r="HJ19" i="8"/>
  <c r="HF19" i="8"/>
  <c r="HE19" i="8"/>
  <c r="HA19" i="8"/>
  <c r="GZ19" i="8"/>
  <c r="GV19" i="8"/>
  <c r="GU19" i="8"/>
  <c r="GQ19" i="8"/>
  <c r="GP19" i="8"/>
  <c r="GL19" i="8"/>
  <c r="GK19" i="8"/>
  <c r="GG19" i="8"/>
  <c r="GF19" i="8"/>
  <c r="GB19" i="8"/>
  <c r="GA19" i="8"/>
  <c r="FW19" i="8"/>
  <c r="FV19" i="8"/>
  <c r="FR19" i="8"/>
  <c r="FQ19" i="8"/>
  <c r="FM19" i="8"/>
  <c r="FL19" i="8"/>
  <c r="FH19" i="8"/>
  <c r="FG19" i="8"/>
  <c r="FC19" i="8"/>
  <c r="FB19" i="8"/>
  <c r="EX19" i="8"/>
  <c r="EW19" i="8"/>
  <c r="ES19" i="8"/>
  <c r="ER19" i="8"/>
  <c r="EN19" i="8"/>
  <c r="EM19" i="8"/>
  <c r="T19" i="8"/>
  <c r="S19" i="8"/>
  <c r="M19" i="8"/>
  <c r="L19" i="8"/>
  <c r="F19" i="8"/>
  <c r="E19" i="8"/>
  <c r="EG18" i="8"/>
  <c r="EF18" i="8"/>
  <c r="DZ18" i="8"/>
  <c r="DY18" i="8"/>
  <c r="DS18" i="8"/>
  <c r="DR18" i="8"/>
  <c r="DL18" i="8"/>
  <c r="DK18" i="8"/>
  <c r="DG18" i="8"/>
  <c r="DF18" i="8"/>
  <c r="DB18" i="8"/>
  <c r="DA18" i="8"/>
  <c r="CW18" i="8"/>
  <c r="CV18" i="8"/>
  <c r="CR18" i="8"/>
  <c r="CQ18" i="8"/>
  <c r="CM18" i="8"/>
  <c r="CL18" i="8"/>
  <c r="CF18" i="8"/>
  <c r="CE18" i="8"/>
  <c r="CA18" i="8"/>
  <c r="BZ18" i="8"/>
  <c r="BV18" i="8"/>
  <c r="BU18" i="8"/>
  <c r="BQ18" i="8"/>
  <c r="BP18" i="8"/>
  <c r="BL18" i="8"/>
  <c r="BK18" i="8"/>
  <c r="BG18" i="8"/>
  <c r="BF18" i="8"/>
  <c r="AZ18" i="8"/>
  <c r="AY18" i="8"/>
  <c r="AU18" i="8"/>
  <c r="AT18" i="8"/>
  <c r="AP18" i="8"/>
  <c r="AO18" i="8"/>
  <c r="AK18" i="8"/>
  <c r="AJ18" i="8"/>
  <c r="AF18" i="8"/>
  <c r="AE18" i="8"/>
  <c r="AA18" i="8"/>
  <c r="Z18" i="8"/>
  <c r="SP18" i="8"/>
  <c r="SO18" i="8"/>
  <c r="SK18" i="8"/>
  <c r="SJ18" i="8"/>
  <c r="SF18" i="8"/>
  <c r="SE18" i="8"/>
  <c r="SA18" i="8"/>
  <c r="RZ18" i="8"/>
  <c r="RV18" i="8"/>
  <c r="RU18" i="8"/>
  <c r="RQ18" i="8"/>
  <c r="RP18" i="8"/>
  <c r="RL18" i="8"/>
  <c r="RK18" i="8"/>
  <c r="RG18" i="8"/>
  <c r="RF18" i="8"/>
  <c r="RB18" i="8"/>
  <c r="RA18" i="8"/>
  <c r="QW18" i="8"/>
  <c r="QV18" i="8"/>
  <c r="QR18" i="8"/>
  <c r="QQ18" i="8"/>
  <c r="QM18" i="8"/>
  <c r="QL18" i="8"/>
  <c r="QH18" i="8"/>
  <c r="QG18" i="8"/>
  <c r="QC18" i="8"/>
  <c r="QB18" i="8"/>
  <c r="PX18" i="8"/>
  <c r="PW18" i="8"/>
  <c r="PS18" i="8"/>
  <c r="PR18" i="8"/>
  <c r="PL18" i="8"/>
  <c r="PK18" i="8"/>
  <c r="PG18" i="8"/>
  <c r="PF18" i="8"/>
  <c r="PB18" i="8"/>
  <c r="PA18" i="8"/>
  <c r="OW18" i="8"/>
  <c r="OV18" i="8"/>
  <c r="OR18" i="8"/>
  <c r="OQ18" i="8"/>
  <c r="OM18" i="8"/>
  <c r="OL18" i="8"/>
  <c r="OH18" i="8"/>
  <c r="OG18" i="8"/>
  <c r="OC18" i="8"/>
  <c r="OB18" i="8"/>
  <c r="NX18" i="8"/>
  <c r="NW18" i="8"/>
  <c r="NS18" i="8"/>
  <c r="NR18" i="8"/>
  <c r="NN18" i="8"/>
  <c r="NM18" i="8"/>
  <c r="NI18" i="8"/>
  <c r="NH18" i="8"/>
  <c r="ND18" i="8"/>
  <c r="NC18" i="8"/>
  <c r="MY18" i="8"/>
  <c r="MX18" i="8"/>
  <c r="MT18" i="8"/>
  <c r="MS18" i="8"/>
  <c r="MO18" i="8"/>
  <c r="MN18" i="8"/>
  <c r="MJ18" i="8"/>
  <c r="MI18" i="8"/>
  <c r="ME18" i="8"/>
  <c r="MD18" i="8"/>
  <c r="LZ18" i="8"/>
  <c r="LY18" i="8"/>
  <c r="LS18" i="8"/>
  <c r="LR18" i="8"/>
  <c r="LN18" i="8"/>
  <c r="LM18" i="8"/>
  <c r="LI18" i="8"/>
  <c r="LH18" i="8"/>
  <c r="LD18" i="8"/>
  <c r="LC18" i="8"/>
  <c r="KY18" i="8"/>
  <c r="KX18" i="8"/>
  <c r="KT18" i="8"/>
  <c r="KS18" i="8"/>
  <c r="KO18" i="8"/>
  <c r="KN18" i="8"/>
  <c r="KJ18" i="8"/>
  <c r="KI18" i="8"/>
  <c r="KE18" i="8"/>
  <c r="KD18" i="8"/>
  <c r="JZ18" i="8"/>
  <c r="JY18" i="8"/>
  <c r="JU18" i="8"/>
  <c r="JT18" i="8"/>
  <c r="JP18" i="8"/>
  <c r="JO18" i="8"/>
  <c r="JK18" i="8"/>
  <c r="JJ18" i="8"/>
  <c r="JF18" i="8"/>
  <c r="JE18" i="8"/>
  <c r="JA18" i="8"/>
  <c r="IZ18" i="8"/>
  <c r="IV18" i="8"/>
  <c r="IU18" i="8"/>
  <c r="IQ18" i="8"/>
  <c r="IP18" i="8"/>
  <c r="IL18" i="8"/>
  <c r="IK18" i="8"/>
  <c r="IG18" i="8"/>
  <c r="IF18" i="8"/>
  <c r="HZ18" i="8"/>
  <c r="HY18" i="8"/>
  <c r="HU18" i="8"/>
  <c r="HT18" i="8"/>
  <c r="HP18" i="8"/>
  <c r="HO18" i="8"/>
  <c r="HK18" i="8"/>
  <c r="HJ18" i="8"/>
  <c r="HF18" i="8"/>
  <c r="HE18" i="8"/>
  <c r="HA18" i="8"/>
  <c r="GZ18" i="8"/>
  <c r="GV18" i="8"/>
  <c r="GU18" i="8"/>
  <c r="GQ18" i="8"/>
  <c r="GP18" i="8"/>
  <c r="GL18" i="8"/>
  <c r="GK18" i="8"/>
  <c r="GG18" i="8"/>
  <c r="GF18" i="8"/>
  <c r="GB18" i="8"/>
  <c r="GA18" i="8"/>
  <c r="FW18" i="8"/>
  <c r="FV18" i="8"/>
  <c r="FR18" i="8"/>
  <c r="FQ18" i="8"/>
  <c r="FM18" i="8"/>
  <c r="FL18" i="8"/>
  <c r="FH18" i="8"/>
  <c r="FG18" i="8"/>
  <c r="FC18" i="8"/>
  <c r="FB18" i="8"/>
  <c r="EX18" i="8"/>
  <c r="EW18" i="8"/>
  <c r="ES18" i="8"/>
  <c r="ER18" i="8"/>
  <c r="EN18" i="8"/>
  <c r="EM18" i="8"/>
  <c r="T18" i="8"/>
  <c r="S18" i="8"/>
  <c r="M18" i="8"/>
  <c r="L18" i="8"/>
  <c r="F18" i="8"/>
  <c r="E18" i="8"/>
  <c r="EG17" i="8"/>
  <c r="EF17" i="8"/>
  <c r="DZ17" i="8"/>
  <c r="DY17" i="8"/>
  <c r="DS17" i="8"/>
  <c r="DR17" i="8"/>
  <c r="DL17" i="8"/>
  <c r="DK17" i="8"/>
  <c r="DG17" i="8"/>
  <c r="DF17" i="8"/>
  <c r="DB17" i="8"/>
  <c r="DA17" i="8"/>
  <c r="CW17" i="8"/>
  <c r="CV17" i="8"/>
  <c r="CR17" i="8"/>
  <c r="CQ17" i="8"/>
  <c r="CM17" i="8"/>
  <c r="CL17" i="8"/>
  <c r="CF17" i="8"/>
  <c r="CE17" i="8"/>
  <c r="CA17" i="8"/>
  <c r="BZ17" i="8"/>
  <c r="BV17" i="8"/>
  <c r="BU17" i="8"/>
  <c r="BQ17" i="8"/>
  <c r="BP17" i="8"/>
  <c r="BL17" i="8"/>
  <c r="BK17" i="8"/>
  <c r="BG17" i="8"/>
  <c r="BF17" i="8"/>
  <c r="AZ17" i="8"/>
  <c r="AY17" i="8"/>
  <c r="AU17" i="8"/>
  <c r="AT17" i="8"/>
  <c r="AP17" i="8"/>
  <c r="AO17" i="8"/>
  <c r="AK17" i="8"/>
  <c r="AJ17" i="8"/>
  <c r="AF17" i="8"/>
  <c r="AE17" i="8"/>
  <c r="AA17" i="8"/>
  <c r="Z17" i="8"/>
  <c r="SP17" i="8"/>
  <c r="SO17" i="8"/>
  <c r="SK17" i="8"/>
  <c r="SJ17" i="8"/>
  <c r="SF17" i="8"/>
  <c r="SE17" i="8"/>
  <c r="SA17" i="8"/>
  <c r="RZ17" i="8"/>
  <c r="RV17" i="8"/>
  <c r="RU17" i="8"/>
  <c r="RQ17" i="8"/>
  <c r="RP17" i="8"/>
  <c r="RL17" i="8"/>
  <c r="RK17" i="8"/>
  <c r="RG17" i="8"/>
  <c r="RF17" i="8"/>
  <c r="RB17" i="8"/>
  <c r="RA17" i="8"/>
  <c r="QW17" i="8"/>
  <c r="QV17" i="8"/>
  <c r="QR17" i="8"/>
  <c r="QQ17" i="8"/>
  <c r="QM17" i="8"/>
  <c r="QL17" i="8"/>
  <c r="QH17" i="8"/>
  <c r="QG17" i="8"/>
  <c r="QC17" i="8"/>
  <c r="QB17" i="8"/>
  <c r="PX17" i="8"/>
  <c r="PW17" i="8"/>
  <c r="PS17" i="8"/>
  <c r="PR17" i="8"/>
  <c r="PL17" i="8"/>
  <c r="PK17" i="8"/>
  <c r="PG17" i="8"/>
  <c r="PF17" i="8"/>
  <c r="PB17" i="8"/>
  <c r="PA17" i="8"/>
  <c r="OW17" i="8"/>
  <c r="OV17" i="8"/>
  <c r="OR17" i="8"/>
  <c r="OQ17" i="8"/>
  <c r="OM17" i="8"/>
  <c r="OL17" i="8"/>
  <c r="OH17" i="8"/>
  <c r="OG17" i="8"/>
  <c r="OC17" i="8"/>
  <c r="OB17" i="8"/>
  <c r="NX17" i="8"/>
  <c r="NW17" i="8"/>
  <c r="NS17" i="8"/>
  <c r="NR17" i="8"/>
  <c r="NN17" i="8"/>
  <c r="NM17" i="8"/>
  <c r="NI17" i="8"/>
  <c r="NH17" i="8"/>
  <c r="ND17" i="8"/>
  <c r="NC17" i="8"/>
  <c r="MY17" i="8"/>
  <c r="MX17" i="8"/>
  <c r="MT17" i="8"/>
  <c r="MS17" i="8"/>
  <c r="MO17" i="8"/>
  <c r="MN17" i="8"/>
  <c r="MJ17" i="8"/>
  <c r="MI17" i="8"/>
  <c r="ME17" i="8"/>
  <c r="MD17" i="8"/>
  <c r="LZ17" i="8"/>
  <c r="LY17" i="8"/>
  <c r="LS17" i="8"/>
  <c r="LR17" i="8"/>
  <c r="LN17" i="8"/>
  <c r="LM17" i="8"/>
  <c r="LI17" i="8"/>
  <c r="LH17" i="8"/>
  <c r="LD17" i="8"/>
  <c r="LC17" i="8"/>
  <c r="KY17" i="8"/>
  <c r="KX17" i="8"/>
  <c r="KT17" i="8"/>
  <c r="KS17" i="8"/>
  <c r="KO17" i="8"/>
  <c r="KN17" i="8"/>
  <c r="KJ17" i="8"/>
  <c r="KI17" i="8"/>
  <c r="KE17" i="8"/>
  <c r="KD17" i="8"/>
  <c r="JZ17" i="8"/>
  <c r="JY17" i="8"/>
  <c r="JU17" i="8"/>
  <c r="JT17" i="8"/>
  <c r="JP17" i="8"/>
  <c r="JO17" i="8"/>
  <c r="JK17" i="8"/>
  <c r="JJ17" i="8"/>
  <c r="JF17" i="8"/>
  <c r="JE17" i="8"/>
  <c r="JA17" i="8"/>
  <c r="IZ17" i="8"/>
  <c r="IV17" i="8"/>
  <c r="IU17" i="8"/>
  <c r="IQ17" i="8"/>
  <c r="IP17" i="8"/>
  <c r="IL17" i="8"/>
  <c r="IK17" i="8"/>
  <c r="IG17" i="8"/>
  <c r="IF17" i="8"/>
  <c r="HZ17" i="8"/>
  <c r="HY17" i="8"/>
  <c r="HU17" i="8"/>
  <c r="HT17" i="8"/>
  <c r="HP17" i="8"/>
  <c r="HO17" i="8"/>
  <c r="HK17" i="8"/>
  <c r="HJ17" i="8"/>
  <c r="HF17" i="8"/>
  <c r="HE17" i="8"/>
  <c r="HA17" i="8"/>
  <c r="GZ17" i="8"/>
  <c r="GV17" i="8"/>
  <c r="GU17" i="8"/>
  <c r="GQ17" i="8"/>
  <c r="GP17" i="8"/>
  <c r="GL17" i="8"/>
  <c r="GK17" i="8"/>
  <c r="GG17" i="8"/>
  <c r="GF17" i="8"/>
  <c r="GB17" i="8"/>
  <c r="GA17" i="8"/>
  <c r="FW17" i="8"/>
  <c r="FV17" i="8"/>
  <c r="FR17" i="8"/>
  <c r="FQ17" i="8"/>
  <c r="FM17" i="8"/>
  <c r="FL17" i="8"/>
  <c r="FH17" i="8"/>
  <c r="FG17" i="8"/>
  <c r="FC17" i="8"/>
  <c r="FB17" i="8"/>
  <c r="EX17" i="8"/>
  <c r="EW17" i="8"/>
  <c r="ES17" i="8"/>
  <c r="ER17" i="8"/>
  <c r="EN17" i="8"/>
  <c r="EM17" i="8"/>
  <c r="T17" i="8"/>
  <c r="S17" i="8"/>
  <c r="M17" i="8"/>
  <c r="L17" i="8"/>
  <c r="F17" i="8"/>
  <c r="E17" i="8"/>
  <c r="EG16" i="8"/>
  <c r="EF16" i="8"/>
  <c r="DZ16" i="8"/>
  <c r="DY16" i="8"/>
  <c r="DS16" i="8"/>
  <c r="DR16" i="8"/>
  <c r="DL16" i="8"/>
  <c r="DK16" i="8"/>
  <c r="DG16" i="8"/>
  <c r="DF16" i="8"/>
  <c r="DB16" i="8"/>
  <c r="DA16" i="8"/>
  <c r="CW16" i="8"/>
  <c r="CV16" i="8"/>
  <c r="CR16" i="8"/>
  <c r="CQ16" i="8"/>
  <c r="CM16" i="8"/>
  <c r="CL16" i="8"/>
  <c r="CF16" i="8"/>
  <c r="CE16" i="8"/>
  <c r="CA16" i="8"/>
  <c r="BZ16" i="8"/>
  <c r="BV16" i="8"/>
  <c r="BU16" i="8"/>
  <c r="BQ16" i="8"/>
  <c r="BP16" i="8"/>
  <c r="BL16" i="8"/>
  <c r="BK16" i="8"/>
  <c r="BG16" i="8"/>
  <c r="BF16" i="8"/>
  <c r="AZ16" i="8"/>
  <c r="AY16" i="8"/>
  <c r="AU16" i="8"/>
  <c r="AT16" i="8"/>
  <c r="AP16" i="8"/>
  <c r="AO16" i="8"/>
  <c r="AK16" i="8"/>
  <c r="AJ16" i="8"/>
  <c r="AF16" i="8"/>
  <c r="AE16" i="8"/>
  <c r="AA16" i="8"/>
  <c r="Z16" i="8"/>
  <c r="SP16" i="8"/>
  <c r="SO16" i="8"/>
  <c r="SK16" i="8"/>
  <c r="SJ16" i="8"/>
  <c r="SF16" i="8"/>
  <c r="SE16" i="8"/>
  <c r="SA16" i="8"/>
  <c r="RZ16" i="8"/>
  <c r="RV16" i="8"/>
  <c r="RU16" i="8"/>
  <c r="RQ16" i="8"/>
  <c r="RP16" i="8"/>
  <c r="RL16" i="8"/>
  <c r="RK16" i="8"/>
  <c r="RG16" i="8"/>
  <c r="RF16" i="8"/>
  <c r="RB16" i="8"/>
  <c r="RA16" i="8"/>
  <c r="QW16" i="8"/>
  <c r="QV16" i="8"/>
  <c r="QR16" i="8"/>
  <c r="QQ16" i="8"/>
  <c r="QM16" i="8"/>
  <c r="QL16" i="8"/>
  <c r="QH16" i="8"/>
  <c r="QG16" i="8"/>
  <c r="QC16" i="8"/>
  <c r="QB16" i="8"/>
  <c r="PX16" i="8"/>
  <c r="PW16" i="8"/>
  <c r="PS16" i="8"/>
  <c r="PR16" i="8"/>
  <c r="PL16" i="8"/>
  <c r="PK16" i="8"/>
  <c r="PG16" i="8"/>
  <c r="PF16" i="8"/>
  <c r="PB16" i="8"/>
  <c r="PA16" i="8"/>
  <c r="OW16" i="8"/>
  <c r="OV16" i="8"/>
  <c r="OR16" i="8"/>
  <c r="OQ16" i="8"/>
  <c r="OM16" i="8"/>
  <c r="OL16" i="8"/>
  <c r="OH16" i="8"/>
  <c r="OG16" i="8"/>
  <c r="OC16" i="8"/>
  <c r="OB16" i="8"/>
  <c r="NX16" i="8"/>
  <c r="NW16" i="8"/>
  <c r="NS16" i="8"/>
  <c r="NR16" i="8"/>
  <c r="NN16" i="8"/>
  <c r="NM16" i="8"/>
  <c r="NI16" i="8"/>
  <c r="NH16" i="8"/>
  <c r="ND16" i="8"/>
  <c r="NC16" i="8"/>
  <c r="MY16" i="8"/>
  <c r="MX16" i="8"/>
  <c r="MT16" i="8"/>
  <c r="MS16" i="8"/>
  <c r="MO16" i="8"/>
  <c r="MN16" i="8"/>
  <c r="MJ16" i="8"/>
  <c r="MI16" i="8"/>
  <c r="ME16" i="8"/>
  <c r="MD16" i="8"/>
  <c r="LZ16" i="8"/>
  <c r="LY16" i="8"/>
  <c r="LS16" i="8"/>
  <c r="LR16" i="8"/>
  <c r="LN16" i="8"/>
  <c r="LM16" i="8"/>
  <c r="LI16" i="8"/>
  <c r="LH16" i="8"/>
  <c r="LD16" i="8"/>
  <c r="LC16" i="8"/>
  <c r="KY16" i="8"/>
  <c r="KX16" i="8"/>
  <c r="KT16" i="8"/>
  <c r="KS16" i="8"/>
  <c r="KO16" i="8"/>
  <c r="KN16" i="8"/>
  <c r="KJ16" i="8"/>
  <c r="KI16" i="8"/>
  <c r="KE16" i="8"/>
  <c r="KD16" i="8"/>
  <c r="JZ16" i="8"/>
  <c r="JY16" i="8"/>
  <c r="JU16" i="8"/>
  <c r="JT16" i="8"/>
  <c r="JP16" i="8"/>
  <c r="JO16" i="8"/>
  <c r="JK16" i="8"/>
  <c r="JJ16" i="8"/>
  <c r="JF16" i="8"/>
  <c r="JE16" i="8"/>
  <c r="JA16" i="8"/>
  <c r="IZ16" i="8"/>
  <c r="IV16" i="8"/>
  <c r="IU16" i="8"/>
  <c r="IQ16" i="8"/>
  <c r="IP16" i="8"/>
  <c r="IL16" i="8"/>
  <c r="IK16" i="8"/>
  <c r="IG16" i="8"/>
  <c r="IF16" i="8"/>
  <c r="HZ16" i="8"/>
  <c r="HY16" i="8"/>
  <c r="HU16" i="8"/>
  <c r="HT16" i="8"/>
  <c r="HP16" i="8"/>
  <c r="HO16" i="8"/>
  <c r="HK16" i="8"/>
  <c r="HJ16" i="8"/>
  <c r="HF16" i="8"/>
  <c r="HE16" i="8"/>
  <c r="HA16" i="8"/>
  <c r="GZ16" i="8"/>
  <c r="GV16" i="8"/>
  <c r="GU16" i="8"/>
  <c r="GQ16" i="8"/>
  <c r="GP16" i="8"/>
  <c r="GL16" i="8"/>
  <c r="GK16" i="8"/>
  <c r="GG16" i="8"/>
  <c r="GF16" i="8"/>
  <c r="GB16" i="8"/>
  <c r="GA16" i="8"/>
  <c r="FW16" i="8"/>
  <c r="FV16" i="8"/>
  <c r="FR16" i="8"/>
  <c r="FQ16" i="8"/>
  <c r="FM16" i="8"/>
  <c r="FL16" i="8"/>
  <c r="FH16" i="8"/>
  <c r="FG16" i="8"/>
  <c r="FC16" i="8"/>
  <c r="FB16" i="8"/>
  <c r="EX16" i="8"/>
  <c r="EW16" i="8"/>
  <c r="ES16" i="8"/>
  <c r="ER16" i="8"/>
  <c r="EN16" i="8"/>
  <c r="EM16" i="8"/>
  <c r="T16" i="8"/>
  <c r="S16" i="8"/>
  <c r="M16" i="8"/>
  <c r="L16" i="8"/>
  <c r="F16" i="8"/>
  <c r="E16" i="8"/>
  <c r="EG15" i="8"/>
  <c r="EF15" i="8"/>
  <c r="DZ15" i="8"/>
  <c r="DY15" i="8"/>
  <c r="DS15" i="8"/>
  <c r="DR15" i="8"/>
  <c r="DL15" i="8"/>
  <c r="DK15" i="8"/>
  <c r="DG15" i="8"/>
  <c r="DF15" i="8"/>
  <c r="DB15" i="8"/>
  <c r="DA15" i="8"/>
  <c r="CW15" i="8"/>
  <c r="CV15" i="8"/>
  <c r="CR15" i="8"/>
  <c r="CQ15" i="8"/>
  <c r="CM15" i="8"/>
  <c r="CL15" i="8"/>
  <c r="CF15" i="8"/>
  <c r="CE15" i="8"/>
  <c r="CA15" i="8"/>
  <c r="BZ15" i="8"/>
  <c r="BV15" i="8"/>
  <c r="BU15" i="8"/>
  <c r="BQ15" i="8"/>
  <c r="BP15" i="8"/>
  <c r="BL15" i="8"/>
  <c r="BK15" i="8"/>
  <c r="BG15" i="8"/>
  <c r="BF15" i="8"/>
  <c r="AZ15" i="8"/>
  <c r="AY15" i="8"/>
  <c r="AU15" i="8"/>
  <c r="AT15" i="8"/>
  <c r="AP15" i="8"/>
  <c r="AO15" i="8"/>
  <c r="AK15" i="8"/>
  <c r="AJ15" i="8"/>
  <c r="AF15" i="8"/>
  <c r="AE15" i="8"/>
  <c r="AA15" i="8"/>
  <c r="Z15" i="8"/>
  <c r="SP15" i="8"/>
  <c r="SO15" i="8"/>
  <c r="SK15" i="8"/>
  <c r="SJ15" i="8"/>
  <c r="SF15" i="8"/>
  <c r="SE15" i="8"/>
  <c r="SA15" i="8"/>
  <c r="RZ15" i="8"/>
  <c r="RV15" i="8"/>
  <c r="RU15" i="8"/>
  <c r="RQ15" i="8"/>
  <c r="RP15" i="8"/>
  <c r="RL15" i="8"/>
  <c r="RK15" i="8"/>
  <c r="RG15" i="8"/>
  <c r="RF15" i="8"/>
  <c r="RB15" i="8"/>
  <c r="RA15" i="8"/>
  <c r="QW15" i="8"/>
  <c r="QV15" i="8"/>
  <c r="QR15" i="8"/>
  <c r="QQ15" i="8"/>
  <c r="QM15" i="8"/>
  <c r="QL15" i="8"/>
  <c r="QH15" i="8"/>
  <c r="QG15" i="8"/>
  <c r="QC15" i="8"/>
  <c r="QB15" i="8"/>
  <c r="PX15" i="8"/>
  <c r="PW15" i="8"/>
  <c r="PS15" i="8"/>
  <c r="PR15" i="8"/>
  <c r="PL15" i="8"/>
  <c r="PK15" i="8"/>
  <c r="PG15" i="8"/>
  <c r="PF15" i="8"/>
  <c r="PB15" i="8"/>
  <c r="PA15" i="8"/>
  <c r="OW15" i="8"/>
  <c r="OV15" i="8"/>
  <c r="OR15" i="8"/>
  <c r="OQ15" i="8"/>
  <c r="OM15" i="8"/>
  <c r="OL15" i="8"/>
  <c r="OH15" i="8"/>
  <c r="OG15" i="8"/>
  <c r="OC15" i="8"/>
  <c r="OB15" i="8"/>
  <c r="NX15" i="8"/>
  <c r="NW15" i="8"/>
  <c r="NS15" i="8"/>
  <c r="NR15" i="8"/>
  <c r="NN15" i="8"/>
  <c r="NM15" i="8"/>
  <c r="NI15" i="8"/>
  <c r="NH15" i="8"/>
  <c r="ND15" i="8"/>
  <c r="NC15" i="8"/>
  <c r="MY15" i="8"/>
  <c r="MX15" i="8"/>
  <c r="MT15" i="8"/>
  <c r="MS15" i="8"/>
  <c r="MO15" i="8"/>
  <c r="MN15" i="8"/>
  <c r="MJ15" i="8"/>
  <c r="MI15" i="8"/>
  <c r="ME15" i="8"/>
  <c r="MD15" i="8"/>
  <c r="LZ15" i="8"/>
  <c r="LY15" i="8"/>
  <c r="LS15" i="8"/>
  <c r="LR15" i="8"/>
  <c r="LN15" i="8"/>
  <c r="LM15" i="8"/>
  <c r="LI15" i="8"/>
  <c r="LH15" i="8"/>
  <c r="LD15" i="8"/>
  <c r="LC15" i="8"/>
  <c r="KY15" i="8"/>
  <c r="KX15" i="8"/>
  <c r="KT15" i="8"/>
  <c r="KS15" i="8"/>
  <c r="KO15" i="8"/>
  <c r="KN15" i="8"/>
  <c r="KJ15" i="8"/>
  <c r="KI15" i="8"/>
  <c r="KE15" i="8"/>
  <c r="KD15" i="8"/>
  <c r="JZ15" i="8"/>
  <c r="JY15" i="8"/>
  <c r="JU15" i="8"/>
  <c r="JT15" i="8"/>
  <c r="JP15" i="8"/>
  <c r="JO15" i="8"/>
  <c r="JK15" i="8"/>
  <c r="JJ15" i="8"/>
  <c r="JF15" i="8"/>
  <c r="JE15" i="8"/>
  <c r="JA15" i="8"/>
  <c r="IZ15" i="8"/>
  <c r="IV15" i="8"/>
  <c r="IU15" i="8"/>
  <c r="IQ15" i="8"/>
  <c r="IP15" i="8"/>
  <c r="IL15" i="8"/>
  <c r="IK15" i="8"/>
  <c r="IG15" i="8"/>
  <c r="IF15" i="8"/>
  <c r="HZ15" i="8"/>
  <c r="HY15" i="8"/>
  <c r="HU15" i="8"/>
  <c r="HT15" i="8"/>
  <c r="HP15" i="8"/>
  <c r="HO15" i="8"/>
  <c r="HK15" i="8"/>
  <c r="HJ15" i="8"/>
  <c r="HF15" i="8"/>
  <c r="HE15" i="8"/>
  <c r="HA15" i="8"/>
  <c r="GZ15" i="8"/>
  <c r="GV15" i="8"/>
  <c r="GU15" i="8"/>
  <c r="GQ15" i="8"/>
  <c r="GP15" i="8"/>
  <c r="GL15" i="8"/>
  <c r="GK15" i="8"/>
  <c r="GG15" i="8"/>
  <c r="GF15" i="8"/>
  <c r="GB15" i="8"/>
  <c r="GA15" i="8"/>
  <c r="FW15" i="8"/>
  <c r="FV15" i="8"/>
  <c r="FR15" i="8"/>
  <c r="FQ15" i="8"/>
  <c r="FM15" i="8"/>
  <c r="FL15" i="8"/>
  <c r="FH15" i="8"/>
  <c r="FG15" i="8"/>
  <c r="FC15" i="8"/>
  <c r="FB15" i="8"/>
  <c r="EX15" i="8"/>
  <c r="EW15" i="8"/>
  <c r="ES15" i="8"/>
  <c r="ER15" i="8"/>
  <c r="EN15" i="8"/>
  <c r="EM15" i="8"/>
  <c r="T15" i="8"/>
  <c r="S15" i="8"/>
  <c r="M15" i="8"/>
  <c r="L15" i="8"/>
  <c r="F15" i="8"/>
  <c r="E15" i="8"/>
  <c r="EG14" i="8"/>
  <c r="EF14" i="8"/>
  <c r="DZ14" i="8"/>
  <c r="DY14" i="8"/>
  <c r="DS14" i="8"/>
  <c r="DR14" i="8"/>
  <c r="DL14" i="8"/>
  <c r="DK14" i="8"/>
  <c r="DG14" i="8"/>
  <c r="DF14" i="8"/>
  <c r="DB14" i="8"/>
  <c r="DA14" i="8"/>
  <c r="CW14" i="8"/>
  <c r="CV14" i="8"/>
  <c r="CR14" i="8"/>
  <c r="CQ14" i="8"/>
  <c r="CM14" i="8"/>
  <c r="CL14" i="8"/>
  <c r="CF14" i="8"/>
  <c r="CE14" i="8"/>
  <c r="CA14" i="8"/>
  <c r="BZ14" i="8"/>
  <c r="BV14" i="8"/>
  <c r="BU14" i="8"/>
  <c r="BQ14" i="8"/>
  <c r="BP14" i="8"/>
  <c r="BL14" i="8"/>
  <c r="BK14" i="8"/>
  <c r="BG14" i="8"/>
  <c r="BF14" i="8"/>
  <c r="AZ14" i="8"/>
  <c r="AY14" i="8"/>
  <c r="AU14" i="8"/>
  <c r="AT14" i="8"/>
  <c r="AP14" i="8"/>
  <c r="AO14" i="8"/>
  <c r="AK14" i="8"/>
  <c r="AJ14" i="8"/>
  <c r="AF14" i="8"/>
  <c r="AE14" i="8"/>
  <c r="AA14" i="8"/>
  <c r="Z14" i="8"/>
  <c r="SP14" i="8"/>
  <c r="SO14" i="8"/>
  <c r="SK14" i="8"/>
  <c r="SJ14" i="8"/>
  <c r="SF14" i="8"/>
  <c r="SE14" i="8"/>
  <c r="SA14" i="8"/>
  <c r="RZ14" i="8"/>
  <c r="RV14" i="8"/>
  <c r="RU14" i="8"/>
  <c r="RQ14" i="8"/>
  <c r="RP14" i="8"/>
  <c r="RL14" i="8"/>
  <c r="RK14" i="8"/>
  <c r="RG14" i="8"/>
  <c r="RF14" i="8"/>
  <c r="RB14" i="8"/>
  <c r="RA14" i="8"/>
  <c r="QW14" i="8"/>
  <c r="QV14" i="8"/>
  <c r="QR14" i="8"/>
  <c r="QQ14" i="8"/>
  <c r="QM14" i="8"/>
  <c r="QL14" i="8"/>
  <c r="QH14" i="8"/>
  <c r="QG14" i="8"/>
  <c r="QC14" i="8"/>
  <c r="QB14" i="8"/>
  <c r="PX14" i="8"/>
  <c r="PW14" i="8"/>
  <c r="PS14" i="8"/>
  <c r="PR14" i="8"/>
  <c r="PL14" i="8"/>
  <c r="PK14" i="8"/>
  <c r="PG14" i="8"/>
  <c r="PF14" i="8"/>
  <c r="PB14" i="8"/>
  <c r="PA14" i="8"/>
  <c r="OW14" i="8"/>
  <c r="OV14" i="8"/>
  <c r="OR14" i="8"/>
  <c r="OQ14" i="8"/>
  <c r="OM14" i="8"/>
  <c r="OL14" i="8"/>
  <c r="OH14" i="8"/>
  <c r="OG14" i="8"/>
  <c r="OC14" i="8"/>
  <c r="OB14" i="8"/>
  <c r="NX14" i="8"/>
  <c r="NW14" i="8"/>
  <c r="NS14" i="8"/>
  <c r="NR14" i="8"/>
  <c r="NN14" i="8"/>
  <c r="NM14" i="8"/>
  <c r="NI14" i="8"/>
  <c r="NH14" i="8"/>
  <c r="ND14" i="8"/>
  <c r="NC14" i="8"/>
  <c r="MY14" i="8"/>
  <c r="MX14" i="8"/>
  <c r="MT14" i="8"/>
  <c r="MS14" i="8"/>
  <c r="MO14" i="8"/>
  <c r="MN14" i="8"/>
  <c r="MJ14" i="8"/>
  <c r="MI14" i="8"/>
  <c r="ME14" i="8"/>
  <c r="MD14" i="8"/>
  <c r="LZ14" i="8"/>
  <c r="LY14" i="8"/>
  <c r="LS14" i="8"/>
  <c r="LR14" i="8"/>
  <c r="LN14" i="8"/>
  <c r="LM14" i="8"/>
  <c r="LI14" i="8"/>
  <c r="LH14" i="8"/>
  <c r="LD14" i="8"/>
  <c r="LC14" i="8"/>
  <c r="KY14" i="8"/>
  <c r="KX14" i="8"/>
  <c r="KT14" i="8"/>
  <c r="KS14" i="8"/>
  <c r="KO14" i="8"/>
  <c r="KN14" i="8"/>
  <c r="KJ14" i="8"/>
  <c r="KI14" i="8"/>
  <c r="KE14" i="8"/>
  <c r="KD14" i="8"/>
  <c r="JZ14" i="8"/>
  <c r="JY14" i="8"/>
  <c r="JU14" i="8"/>
  <c r="JT14" i="8"/>
  <c r="JP14" i="8"/>
  <c r="JO14" i="8"/>
  <c r="JK14" i="8"/>
  <c r="JJ14" i="8"/>
  <c r="JF14" i="8"/>
  <c r="JE14" i="8"/>
  <c r="JA14" i="8"/>
  <c r="IZ14" i="8"/>
  <c r="IV14" i="8"/>
  <c r="IU14" i="8"/>
  <c r="IQ14" i="8"/>
  <c r="IP14" i="8"/>
  <c r="IL14" i="8"/>
  <c r="IK14" i="8"/>
  <c r="IG14" i="8"/>
  <c r="IF14" i="8"/>
  <c r="HZ14" i="8"/>
  <c r="HY14" i="8"/>
  <c r="HU14" i="8"/>
  <c r="HT14" i="8"/>
  <c r="HP14" i="8"/>
  <c r="HO14" i="8"/>
  <c r="HK14" i="8"/>
  <c r="HJ14" i="8"/>
  <c r="HF14" i="8"/>
  <c r="HE14" i="8"/>
  <c r="HA14" i="8"/>
  <c r="GZ14" i="8"/>
  <c r="GV14" i="8"/>
  <c r="GU14" i="8"/>
  <c r="GQ14" i="8"/>
  <c r="GP14" i="8"/>
  <c r="GL14" i="8"/>
  <c r="GK14" i="8"/>
  <c r="GG14" i="8"/>
  <c r="GF14" i="8"/>
  <c r="GB14" i="8"/>
  <c r="GA14" i="8"/>
  <c r="FW14" i="8"/>
  <c r="FV14" i="8"/>
  <c r="FR14" i="8"/>
  <c r="FQ14" i="8"/>
  <c r="FM14" i="8"/>
  <c r="FL14" i="8"/>
  <c r="FH14" i="8"/>
  <c r="FG14" i="8"/>
  <c r="FC14" i="8"/>
  <c r="FB14" i="8"/>
  <c r="EX14" i="8"/>
  <c r="EW14" i="8"/>
  <c r="ES14" i="8"/>
  <c r="ER14" i="8"/>
  <c r="EN14" i="8"/>
  <c r="EM14" i="8"/>
  <c r="T14" i="8"/>
  <c r="S14" i="8"/>
  <c r="M14" i="8"/>
  <c r="L14" i="8"/>
  <c r="F14" i="8"/>
  <c r="E14" i="8"/>
  <c r="EG13" i="8"/>
  <c r="EF13" i="8"/>
  <c r="DZ13" i="8"/>
  <c r="DY13" i="8"/>
  <c r="DS13" i="8"/>
  <c r="DR13" i="8"/>
  <c r="DL13" i="8"/>
  <c r="DK13" i="8"/>
  <c r="DG13" i="8"/>
  <c r="DF13" i="8"/>
  <c r="DB13" i="8"/>
  <c r="DA13" i="8"/>
  <c r="CW13" i="8"/>
  <c r="CV13" i="8"/>
  <c r="CR13" i="8"/>
  <c r="CQ13" i="8"/>
  <c r="CM13" i="8"/>
  <c r="CL13" i="8"/>
  <c r="CF13" i="8"/>
  <c r="CE13" i="8"/>
  <c r="CA13" i="8"/>
  <c r="BZ13" i="8"/>
  <c r="BV13" i="8"/>
  <c r="BU13" i="8"/>
  <c r="BQ13" i="8"/>
  <c r="BP13" i="8"/>
  <c r="BL13" i="8"/>
  <c r="BK13" i="8"/>
  <c r="BG13" i="8"/>
  <c r="BF13" i="8"/>
  <c r="AZ13" i="8"/>
  <c r="AY13" i="8"/>
  <c r="AU13" i="8"/>
  <c r="AT13" i="8"/>
  <c r="AP13" i="8"/>
  <c r="AO13" i="8"/>
  <c r="AK13" i="8"/>
  <c r="AJ13" i="8"/>
  <c r="AF13" i="8"/>
  <c r="AE13" i="8"/>
  <c r="AA13" i="8"/>
  <c r="Z13" i="8"/>
  <c r="SP13" i="8"/>
  <c r="SO13" i="8"/>
  <c r="SK13" i="8"/>
  <c r="SJ13" i="8"/>
  <c r="SF13" i="8"/>
  <c r="SE13" i="8"/>
  <c r="SA13" i="8"/>
  <c r="RZ13" i="8"/>
  <c r="RV13" i="8"/>
  <c r="RU13" i="8"/>
  <c r="RQ13" i="8"/>
  <c r="RP13" i="8"/>
  <c r="RL13" i="8"/>
  <c r="RK13" i="8"/>
  <c r="RG13" i="8"/>
  <c r="RF13" i="8"/>
  <c r="RB13" i="8"/>
  <c r="RA13" i="8"/>
  <c r="QW13" i="8"/>
  <c r="QV13" i="8"/>
  <c r="QR13" i="8"/>
  <c r="QQ13" i="8"/>
  <c r="QM13" i="8"/>
  <c r="QL13" i="8"/>
  <c r="QH13" i="8"/>
  <c r="QG13" i="8"/>
  <c r="QC13" i="8"/>
  <c r="QB13" i="8"/>
  <c r="PX13" i="8"/>
  <c r="PW13" i="8"/>
  <c r="PS13" i="8"/>
  <c r="PR13" i="8"/>
  <c r="PL13" i="8"/>
  <c r="PK13" i="8"/>
  <c r="PG13" i="8"/>
  <c r="PF13" i="8"/>
  <c r="PB13" i="8"/>
  <c r="PA13" i="8"/>
  <c r="OW13" i="8"/>
  <c r="OV13" i="8"/>
  <c r="OR13" i="8"/>
  <c r="OQ13" i="8"/>
  <c r="OM13" i="8"/>
  <c r="OL13" i="8"/>
  <c r="OH13" i="8"/>
  <c r="OG13" i="8"/>
  <c r="OC13" i="8"/>
  <c r="OB13" i="8"/>
  <c r="NX13" i="8"/>
  <c r="NW13" i="8"/>
  <c r="NS13" i="8"/>
  <c r="NR13" i="8"/>
  <c r="NN13" i="8"/>
  <c r="NM13" i="8"/>
  <c r="NI13" i="8"/>
  <c r="NH13" i="8"/>
  <c r="ND13" i="8"/>
  <c r="NC13" i="8"/>
  <c r="MY13" i="8"/>
  <c r="MX13" i="8"/>
  <c r="MT13" i="8"/>
  <c r="MS13" i="8"/>
  <c r="MO13" i="8"/>
  <c r="MN13" i="8"/>
  <c r="MJ13" i="8"/>
  <c r="MI13" i="8"/>
  <c r="ME13" i="8"/>
  <c r="MD13" i="8"/>
  <c r="LZ13" i="8"/>
  <c r="LY13" i="8"/>
  <c r="LS13" i="8"/>
  <c r="LR13" i="8"/>
  <c r="LN13" i="8"/>
  <c r="LM13" i="8"/>
  <c r="LI13" i="8"/>
  <c r="LH13" i="8"/>
  <c r="LD13" i="8"/>
  <c r="LC13" i="8"/>
  <c r="KY13" i="8"/>
  <c r="KX13" i="8"/>
  <c r="KT13" i="8"/>
  <c r="KS13" i="8"/>
  <c r="KO13" i="8"/>
  <c r="KN13" i="8"/>
  <c r="KJ13" i="8"/>
  <c r="KI13" i="8"/>
  <c r="KE13" i="8"/>
  <c r="KD13" i="8"/>
  <c r="JZ13" i="8"/>
  <c r="JY13" i="8"/>
  <c r="JU13" i="8"/>
  <c r="JT13" i="8"/>
  <c r="JP13" i="8"/>
  <c r="JO13" i="8"/>
  <c r="JK13" i="8"/>
  <c r="JJ13" i="8"/>
  <c r="JF13" i="8"/>
  <c r="JE13" i="8"/>
  <c r="JA13" i="8"/>
  <c r="IZ13" i="8"/>
  <c r="IV13" i="8"/>
  <c r="IU13" i="8"/>
  <c r="IQ13" i="8"/>
  <c r="IP13" i="8"/>
  <c r="IL13" i="8"/>
  <c r="IK13" i="8"/>
  <c r="IG13" i="8"/>
  <c r="IF13" i="8"/>
  <c r="HZ13" i="8"/>
  <c r="HY13" i="8"/>
  <c r="HU13" i="8"/>
  <c r="HT13" i="8"/>
  <c r="HP13" i="8"/>
  <c r="HO13" i="8"/>
  <c r="HK13" i="8"/>
  <c r="HJ13" i="8"/>
  <c r="HF13" i="8"/>
  <c r="HE13" i="8"/>
  <c r="HA13" i="8"/>
  <c r="GZ13" i="8"/>
  <c r="GV13" i="8"/>
  <c r="GU13" i="8"/>
  <c r="GQ13" i="8"/>
  <c r="GP13" i="8"/>
  <c r="GL13" i="8"/>
  <c r="GK13" i="8"/>
  <c r="GG13" i="8"/>
  <c r="GF13" i="8"/>
  <c r="GB13" i="8"/>
  <c r="GA13" i="8"/>
  <c r="FW13" i="8"/>
  <c r="FV13" i="8"/>
  <c r="FR13" i="8"/>
  <c r="FQ13" i="8"/>
  <c r="FM13" i="8"/>
  <c r="FL13" i="8"/>
  <c r="FH13" i="8"/>
  <c r="FG13" i="8"/>
  <c r="FC13" i="8"/>
  <c r="FB13" i="8"/>
  <c r="EX13" i="8"/>
  <c r="EW13" i="8"/>
  <c r="ES13" i="8"/>
  <c r="ER13" i="8"/>
  <c r="EN13" i="8"/>
  <c r="EM13" i="8"/>
  <c r="T13" i="8"/>
  <c r="S13" i="8"/>
  <c r="M13" i="8"/>
  <c r="L13" i="8"/>
  <c r="F13" i="8"/>
  <c r="E13" i="8"/>
  <c r="EG12" i="8"/>
  <c r="EF12" i="8"/>
  <c r="DZ12" i="8"/>
  <c r="DY12" i="8"/>
  <c r="DS12" i="8"/>
  <c r="DR12" i="8"/>
  <c r="DL12" i="8"/>
  <c r="DK12" i="8"/>
  <c r="DG12" i="8"/>
  <c r="DF12" i="8"/>
  <c r="DB12" i="8"/>
  <c r="DA12" i="8"/>
  <c r="CW12" i="8"/>
  <c r="CV12" i="8"/>
  <c r="CR12" i="8"/>
  <c r="CQ12" i="8"/>
  <c r="CM12" i="8"/>
  <c r="CL12" i="8"/>
  <c r="CF12" i="8"/>
  <c r="CE12" i="8"/>
  <c r="CA12" i="8"/>
  <c r="BZ12" i="8"/>
  <c r="BV12" i="8"/>
  <c r="BU12" i="8"/>
  <c r="BQ12" i="8"/>
  <c r="BP12" i="8"/>
  <c r="BL12" i="8"/>
  <c r="BK12" i="8"/>
  <c r="BG12" i="8"/>
  <c r="BF12" i="8"/>
  <c r="AZ12" i="8"/>
  <c r="AY12" i="8"/>
  <c r="AU12" i="8"/>
  <c r="AT12" i="8"/>
  <c r="AP12" i="8"/>
  <c r="AO12" i="8"/>
  <c r="AK12" i="8"/>
  <c r="AJ12" i="8"/>
  <c r="AF12" i="8"/>
  <c r="AE12" i="8"/>
  <c r="AA12" i="8"/>
  <c r="Z12" i="8"/>
  <c r="SP12" i="8"/>
  <c r="SO12" i="8"/>
  <c r="SK12" i="8"/>
  <c r="SJ12" i="8"/>
  <c r="SF12" i="8"/>
  <c r="SE12" i="8"/>
  <c r="SA12" i="8"/>
  <c r="RZ12" i="8"/>
  <c r="RV12" i="8"/>
  <c r="RU12" i="8"/>
  <c r="RQ12" i="8"/>
  <c r="RP12" i="8"/>
  <c r="RL12" i="8"/>
  <c r="RK12" i="8"/>
  <c r="RG12" i="8"/>
  <c r="RF12" i="8"/>
  <c r="RB12" i="8"/>
  <c r="RA12" i="8"/>
  <c r="QW12" i="8"/>
  <c r="QV12" i="8"/>
  <c r="QR12" i="8"/>
  <c r="QQ12" i="8"/>
  <c r="QM12" i="8"/>
  <c r="QL12" i="8"/>
  <c r="QH12" i="8"/>
  <c r="QG12" i="8"/>
  <c r="QC12" i="8"/>
  <c r="QB12" i="8"/>
  <c r="PX12" i="8"/>
  <c r="PW12" i="8"/>
  <c r="PS12" i="8"/>
  <c r="PR12" i="8"/>
  <c r="PL12" i="8"/>
  <c r="PK12" i="8"/>
  <c r="PG12" i="8"/>
  <c r="PF12" i="8"/>
  <c r="PB12" i="8"/>
  <c r="PA12" i="8"/>
  <c r="OW12" i="8"/>
  <c r="OV12" i="8"/>
  <c r="OR12" i="8"/>
  <c r="OQ12" i="8"/>
  <c r="OM12" i="8"/>
  <c r="OL12" i="8"/>
  <c r="OH12" i="8"/>
  <c r="OG12" i="8"/>
  <c r="OC12" i="8"/>
  <c r="OB12" i="8"/>
  <c r="NX12" i="8"/>
  <c r="NW12" i="8"/>
  <c r="NS12" i="8"/>
  <c r="NR12" i="8"/>
  <c r="NN12" i="8"/>
  <c r="NM12" i="8"/>
  <c r="NI12" i="8"/>
  <c r="NH12" i="8"/>
  <c r="ND12" i="8"/>
  <c r="NC12" i="8"/>
  <c r="MY12" i="8"/>
  <c r="MX12" i="8"/>
  <c r="MT12" i="8"/>
  <c r="MS12" i="8"/>
  <c r="MO12" i="8"/>
  <c r="MN12" i="8"/>
  <c r="MJ12" i="8"/>
  <c r="MI12" i="8"/>
  <c r="ME12" i="8"/>
  <c r="MD12" i="8"/>
  <c r="LZ12" i="8"/>
  <c r="LY12" i="8"/>
  <c r="LS12" i="8"/>
  <c r="LR12" i="8"/>
  <c r="LN12" i="8"/>
  <c r="LM12" i="8"/>
  <c r="LI12" i="8"/>
  <c r="LH12" i="8"/>
  <c r="LD12" i="8"/>
  <c r="LC12" i="8"/>
  <c r="KY12" i="8"/>
  <c r="KX12" i="8"/>
  <c r="KT12" i="8"/>
  <c r="KS12" i="8"/>
  <c r="KO12" i="8"/>
  <c r="KN12" i="8"/>
  <c r="KJ12" i="8"/>
  <c r="KI12" i="8"/>
  <c r="KE12" i="8"/>
  <c r="KD12" i="8"/>
  <c r="JZ12" i="8"/>
  <c r="JY12" i="8"/>
  <c r="JU12" i="8"/>
  <c r="JT12" i="8"/>
  <c r="JP12" i="8"/>
  <c r="JO12" i="8"/>
  <c r="JK12" i="8"/>
  <c r="JJ12" i="8"/>
  <c r="JF12" i="8"/>
  <c r="JE12" i="8"/>
  <c r="JA12" i="8"/>
  <c r="IZ12" i="8"/>
  <c r="IV12" i="8"/>
  <c r="IU12" i="8"/>
  <c r="IQ12" i="8"/>
  <c r="IP12" i="8"/>
  <c r="IL12" i="8"/>
  <c r="IK12" i="8"/>
  <c r="IG12" i="8"/>
  <c r="IF12" i="8"/>
  <c r="HZ12" i="8"/>
  <c r="HY12" i="8"/>
  <c r="HU12" i="8"/>
  <c r="HT12" i="8"/>
  <c r="HP12" i="8"/>
  <c r="HO12" i="8"/>
  <c r="HK12" i="8"/>
  <c r="HJ12" i="8"/>
  <c r="HF12" i="8"/>
  <c r="HE12" i="8"/>
  <c r="HA12" i="8"/>
  <c r="GZ12" i="8"/>
  <c r="GV12" i="8"/>
  <c r="GU12" i="8"/>
  <c r="GQ12" i="8"/>
  <c r="GP12" i="8"/>
  <c r="GL12" i="8"/>
  <c r="GK12" i="8"/>
  <c r="GG12" i="8"/>
  <c r="GF12" i="8"/>
  <c r="GB12" i="8"/>
  <c r="GA12" i="8"/>
  <c r="FW12" i="8"/>
  <c r="FV12" i="8"/>
  <c r="FR12" i="8"/>
  <c r="FQ12" i="8"/>
  <c r="FM12" i="8"/>
  <c r="FL12" i="8"/>
  <c r="FH12" i="8"/>
  <c r="FG12" i="8"/>
  <c r="FC12" i="8"/>
  <c r="FB12" i="8"/>
  <c r="EX12" i="8"/>
  <c r="EW12" i="8"/>
  <c r="ES12" i="8"/>
  <c r="ER12" i="8"/>
  <c r="EN12" i="8"/>
  <c r="EM12" i="8"/>
  <c r="T12" i="8"/>
  <c r="S12" i="8"/>
  <c r="M12" i="8"/>
  <c r="L12" i="8"/>
  <c r="F12" i="8"/>
  <c r="E12" i="8"/>
  <c r="AK26" i="10" l="1"/>
  <c r="F26" i="10"/>
  <c r="P26" i="10"/>
  <c r="Z26" i="10"/>
  <c r="AF26" i="10"/>
  <c r="AP26" i="10"/>
  <c r="AZ26" i="10"/>
  <c r="K26" i="10"/>
  <c r="U26" i="10"/>
  <c r="AU26" i="10"/>
  <c r="BE26" i="10"/>
  <c r="H28" i="8"/>
  <c r="H30" i="8" s="1"/>
  <c r="B45" i="8"/>
  <c r="B44" i="8"/>
  <c r="B43" i="8"/>
  <c r="B39" i="8"/>
  <c r="EM26" i="8"/>
  <c r="FG26" i="8"/>
  <c r="GA26" i="8"/>
  <c r="GU26" i="8"/>
  <c r="HO26" i="8"/>
  <c r="IK26" i="8"/>
  <c r="JE26" i="8"/>
  <c r="JY26" i="8"/>
  <c r="KS26" i="8"/>
  <c r="LM26" i="8"/>
  <c r="MI26" i="8"/>
  <c r="NC26" i="8"/>
  <c r="NW26" i="8"/>
  <c r="OQ26" i="8"/>
  <c r="PK26" i="8"/>
  <c r="QG26" i="8"/>
  <c r="RA26" i="8"/>
  <c r="RU26" i="8"/>
  <c r="SO26" i="8"/>
  <c r="AO26" i="8"/>
  <c r="BK26" i="8"/>
  <c r="CE26" i="8"/>
  <c r="DA26" i="8"/>
  <c r="DY26" i="8"/>
  <c r="C41" i="8" s="1"/>
  <c r="L26" i="8"/>
  <c r="C35" i="8" s="1"/>
  <c r="EW26" i="8"/>
  <c r="FQ26" i="8"/>
  <c r="GK26" i="8"/>
  <c r="HE26" i="8"/>
  <c r="HY26" i="8"/>
  <c r="IU26" i="8"/>
  <c r="JO26" i="8"/>
  <c r="KI26" i="8"/>
  <c r="LC26" i="8"/>
  <c r="LY26" i="8"/>
  <c r="MS26" i="8"/>
  <c r="NM26" i="8"/>
  <c r="OG26" i="8"/>
  <c r="PA26" i="8"/>
  <c r="PW26" i="8"/>
  <c r="QQ26" i="8"/>
  <c r="RK26" i="8"/>
  <c r="SE26" i="8"/>
  <c r="AE26" i="8"/>
  <c r="AY26" i="8"/>
  <c r="BU26" i="8"/>
  <c r="CQ26" i="8"/>
  <c r="DK26" i="8"/>
  <c r="E26" i="8"/>
  <c r="C34" i="8" s="1"/>
  <c r="ER26" i="8"/>
  <c r="FL26" i="8"/>
  <c r="GF26" i="8"/>
  <c r="GZ26" i="8"/>
  <c r="HT26" i="8"/>
  <c r="IP26" i="8"/>
  <c r="JJ26" i="8"/>
  <c r="KD26" i="8"/>
  <c r="KX26" i="8"/>
  <c r="LR26" i="8"/>
  <c r="MN26" i="8"/>
  <c r="NH26" i="8"/>
  <c r="OB26" i="8"/>
  <c r="OV26" i="8"/>
  <c r="PR26" i="8"/>
  <c r="QL26" i="8"/>
  <c r="RF26" i="8"/>
  <c r="RZ26" i="8"/>
  <c r="Z26" i="8"/>
  <c r="AT26" i="8"/>
  <c r="BP26" i="8"/>
  <c r="CL26" i="8"/>
  <c r="DF26" i="8"/>
  <c r="EF26" i="8"/>
  <c r="C42" i="8" s="1"/>
  <c r="S26" i="8"/>
  <c r="C36" i="8" s="1"/>
  <c r="FB26" i="8"/>
  <c r="FV26" i="8"/>
  <c r="GP26" i="8"/>
  <c r="HJ26" i="8"/>
  <c r="IF26" i="8"/>
  <c r="IZ26" i="8"/>
  <c r="JT26" i="8"/>
  <c r="KN26" i="8"/>
  <c r="LH26" i="8"/>
  <c r="MD26" i="8"/>
  <c r="MX26" i="8"/>
  <c r="NR26" i="8"/>
  <c r="OL26" i="8"/>
  <c r="PF26" i="8"/>
  <c r="QB26" i="8"/>
  <c r="QV26" i="8"/>
  <c r="RP26" i="8"/>
  <c r="SJ26" i="8"/>
  <c r="AJ26" i="8"/>
  <c r="BF26" i="8"/>
  <c r="BZ26" i="8"/>
  <c r="CV26" i="8"/>
  <c r="DR26" i="8"/>
  <c r="C40" i="8" s="1"/>
  <c r="C37" i="8" l="1"/>
  <c r="C39" i="8"/>
  <c r="C38" i="8"/>
  <c r="C45" i="8"/>
  <c r="C43" i="8"/>
  <c r="C44" i="8"/>
  <c r="CL28" i="8"/>
  <c r="PR28" i="8"/>
  <c r="Z28" i="8"/>
  <c r="BF28" i="8"/>
  <c r="C46" i="8" l="1"/>
  <c r="B46" i="8"/>
</calcChain>
</file>

<file path=xl/sharedStrings.xml><?xml version="1.0" encoding="utf-8"?>
<sst xmlns="http://schemas.openxmlformats.org/spreadsheetml/2006/main" count="1027" uniqueCount="182">
  <si>
    <t>0 – 17</t>
  </si>
  <si>
    <t>18 – 25</t>
  </si>
  <si>
    <t>26 – 30</t>
  </si>
  <si>
    <t>31 - 35</t>
  </si>
  <si>
    <t>36 - 40</t>
  </si>
  <si>
    <t>41 - 45</t>
  </si>
  <si>
    <t>46 - 50</t>
  </si>
  <si>
    <t>51 - 55</t>
  </si>
  <si>
    <t>56 - 60</t>
  </si>
  <si>
    <t>61 - 65</t>
  </si>
  <si>
    <t>66 - 70</t>
  </si>
  <si>
    <t>71 - 75</t>
  </si>
  <si>
    <t>76 - 79</t>
  </si>
  <si>
    <t>80 +</t>
  </si>
  <si>
    <t>No. of lives</t>
  </si>
  <si>
    <t>Age Bands:</t>
  </si>
  <si>
    <t xml:space="preserve">Age Banded </t>
  </si>
  <si>
    <t>Premium</t>
  </si>
  <si>
    <t>% Increase</t>
  </si>
  <si>
    <t>Global PEO Services Inc</t>
  </si>
  <si>
    <t>Cat 1</t>
  </si>
  <si>
    <t>Cat 2</t>
  </si>
  <si>
    <t>Area 3: Mexico</t>
  </si>
  <si>
    <t>Area 4: Singapore</t>
  </si>
  <si>
    <t>Cat 3</t>
  </si>
  <si>
    <t>Cat 4</t>
  </si>
  <si>
    <t>Area 15: Poland</t>
  </si>
  <si>
    <t>Cat 5</t>
  </si>
  <si>
    <t>Cat 6</t>
  </si>
  <si>
    <t>Cat 7</t>
  </si>
  <si>
    <t>Area 5: UK</t>
  </si>
  <si>
    <t>Cat 8</t>
  </si>
  <si>
    <t>Cat 9</t>
  </si>
  <si>
    <t>Cat 10</t>
  </si>
  <si>
    <t>Area 2: HK</t>
  </si>
  <si>
    <t>Area 9: Australia, Bulgaria</t>
  </si>
  <si>
    <t>Area12: Saudi Arabia</t>
  </si>
  <si>
    <t>Area 5: Israel</t>
  </si>
  <si>
    <t>Area 10: Japan</t>
  </si>
  <si>
    <t>Area 6: Indonesia</t>
  </si>
  <si>
    <t>Area 8: South Korea, Vietnam</t>
  </si>
  <si>
    <t>Area 10: Malaysia, Japan</t>
  </si>
  <si>
    <t>Area 11: Albania</t>
  </si>
  <si>
    <t>Area 14: Taiwan</t>
  </si>
  <si>
    <t>Area 9: Germany, Italy</t>
  </si>
  <si>
    <t>Area 5: Spain</t>
  </si>
  <si>
    <t>Area 9: Austria, Finland, Germany, Hungary, Italy, Portugal, Sweden</t>
  </si>
  <si>
    <t>Area 12: Dubai</t>
  </si>
  <si>
    <t>Area 12: Abu Dhabi</t>
  </si>
  <si>
    <t>Summary</t>
  </si>
  <si>
    <t>Number of Lives</t>
  </si>
  <si>
    <t>Cat 11</t>
  </si>
  <si>
    <t>Cat 12</t>
  </si>
  <si>
    <t>Average Increment</t>
  </si>
  <si>
    <t>Area 9: Australia</t>
  </si>
  <si>
    <t>Area 15: Philippines</t>
  </si>
  <si>
    <t>Area 17: China</t>
  </si>
  <si>
    <t>Existing Premium</t>
  </si>
  <si>
    <t>Renewal Premium</t>
  </si>
  <si>
    <t xml:space="preserve">2022-2023
Age Banded </t>
  </si>
  <si>
    <t>Country</t>
  </si>
  <si>
    <t>Rate Action</t>
  </si>
  <si>
    <t>Pakistan</t>
  </si>
  <si>
    <t>Mexico</t>
  </si>
  <si>
    <t>United Kingdom</t>
  </si>
  <si>
    <t xml:space="preserve">Costa Rica </t>
  </si>
  <si>
    <t>Dubai/UAE</t>
  </si>
  <si>
    <t>Bangladesh</t>
  </si>
  <si>
    <t>Egypt</t>
  </si>
  <si>
    <t>ROW</t>
  </si>
  <si>
    <t>target rate action</t>
  </si>
  <si>
    <t>Area 5:</t>
  </si>
  <si>
    <t>Area 13:</t>
  </si>
  <si>
    <t>Cat 1:
8135 - Global Elite - UK 2.0
Apex, nil deductible + WOV USD 500</t>
  </si>
  <si>
    <t>Cat 2:
8135 - Global Essential - UK
Essential, nil deductible</t>
  </si>
  <si>
    <t>Cat 3:
8135 - Global Plus - UK
Advance, nil deductible + WOV USD 500 + Optional Dental + Optional Maternity</t>
  </si>
  <si>
    <t>Area 8:</t>
  </si>
  <si>
    <t>Area 11:</t>
  </si>
  <si>
    <t>Area 14:</t>
  </si>
  <si>
    <t>Area 15:</t>
  </si>
  <si>
    <t>Area 9:</t>
  </si>
  <si>
    <t>Area 12:</t>
  </si>
  <si>
    <t>Area 2: Hong Kong</t>
  </si>
  <si>
    <t>Area 2:</t>
  </si>
  <si>
    <t>Area 7:</t>
  </si>
  <si>
    <t>Area 10:</t>
  </si>
  <si>
    <t>Area 16:</t>
  </si>
  <si>
    <t>Area 10: Malaysia</t>
  </si>
  <si>
    <t>Area 8: Vietnam</t>
  </si>
  <si>
    <t>Area 11: Benin</t>
  </si>
  <si>
    <t>Area 9: Austria, Finland</t>
  </si>
  <si>
    <t>Area 11: Czech Republic, Belgium</t>
  </si>
  <si>
    <t>Area 11: Belgium, Denmark, Czech Republic, Luxembourg, Romania</t>
  </si>
  <si>
    <t>Area 13: Netherlands</t>
  </si>
  <si>
    <t>Starr UK</t>
  </si>
  <si>
    <t>BDIL</t>
  </si>
  <si>
    <t>Starr EU</t>
  </si>
  <si>
    <t>Binder</t>
  </si>
  <si>
    <t>UK</t>
  </si>
  <si>
    <t>EU</t>
  </si>
  <si>
    <t>AIC</t>
  </si>
  <si>
    <t>Area</t>
  </si>
  <si>
    <t>8137 - Global Elite</t>
  </si>
  <si>
    <t>8137 - Global Essential</t>
  </si>
  <si>
    <t>8137 - Global Plus</t>
  </si>
  <si>
    <t>Bangladesh no member</t>
  </si>
  <si>
    <t>total area</t>
  </si>
  <si>
    <t>8135 - Global Elite - UK 2.0</t>
  </si>
  <si>
    <t>8135 - Global Essential - UK</t>
  </si>
  <si>
    <t>8135 - Global Plus - UK</t>
  </si>
  <si>
    <t>8136 - Global Elite</t>
  </si>
  <si>
    <t>8136 - Global Essential</t>
  </si>
  <si>
    <t>8136 - Global Plus</t>
  </si>
  <si>
    <t>8138 - Global Elite - Dubai</t>
  </si>
  <si>
    <t>8138 - Global Plus - AUH</t>
  </si>
  <si>
    <t>8138 - Global Plus - Dubai</t>
  </si>
  <si>
    <t>Apex, nil deductible + WOV USD 500</t>
  </si>
  <si>
    <t>Essential, nil deductible</t>
  </si>
  <si>
    <t>Advance, nil deductible + WOV USD 500 + Optional Dental + Optional Maternity</t>
  </si>
  <si>
    <t>Pakistan/Egypt -10%, Mexico -10%, Costa Rica 0%, Bangladesh -10%, ROW -5%</t>
  </si>
  <si>
    <t>Area16: Pakistan, Egypt</t>
  </si>
  <si>
    <t>Area16: ROW</t>
  </si>
  <si>
    <t>Area 7: Costa Rica</t>
  </si>
  <si>
    <t>Area 7: Ecuador, Switzerland, Republic of Ireland, Colombia, and ROW</t>
  </si>
  <si>
    <t>Area 7: Bangladesh</t>
  </si>
  <si>
    <t>Area 16: Pakistan, Egypt</t>
  </si>
  <si>
    <t>Area 16: Sri Lanka, Pakistan, Nigeria, ROW</t>
  </si>
  <si>
    <t>Area 7: Turkey, Chile, ROW</t>
  </si>
  <si>
    <t>Area 16: Pakistan/Egypt</t>
  </si>
  <si>
    <t>Area 16: Morocco, Nigeria, South Africa, ROW</t>
  </si>
  <si>
    <t>Area 7: Argentina, Bangladesh, Barbados, Chile, Colombia, Peru, Switzerland, Turkey, ROW</t>
  </si>
  <si>
    <t>Plan</t>
  </si>
  <si>
    <t>Cat 4:
8136 - Global Elite
Apex, nil deductible + WOV USD 500</t>
  </si>
  <si>
    <t>Cat 5:
8136 - Global Essential
Essential, nil deductible</t>
  </si>
  <si>
    <t>Cat 6:
8136 - Global Plus
Advance, nil deductible + WOV USD 500 + Optional Dental + Optional Maternity</t>
  </si>
  <si>
    <t>Cat 7:
7945 - Global Elite - Dubai
Apex, nil deductible + WOV USD 500</t>
  </si>
  <si>
    <t>Cat 8:
7945 - Global Plus - AUH
Advance, nil deductible + WOV USD 500 + Optional Dental + Optional Maternity</t>
  </si>
  <si>
    <t>Cat 9:
7945 - Global Plus - Dubai
Advance, nil deductible + WOV USD 500 + Optional Dental + Optional Maternity</t>
  </si>
  <si>
    <t>Cat 10:
8137 - Global Elite
Apex, nil deductible + WOV USD 500</t>
  </si>
  <si>
    <t>Cat 11:
8137 - Global Essential
Essential, nil deductible</t>
  </si>
  <si>
    <t>Cat 12:
8137 - Global Plus
Advance, nil deductible + WOV USD 500 + Optional Dental + Optional Maternity</t>
  </si>
  <si>
    <t>Cat 13:
8137 - Global Plus 2
Advance, nil deductible + WOV USD 500 + Optional Dental + Optional Maternity</t>
  </si>
  <si>
    <t>Category Name</t>
  </si>
  <si>
    <t>Average Increment for ROW members</t>
  </si>
  <si>
    <t>Total</t>
  </si>
  <si>
    <t xml:space="preserve">2023
Age Banded </t>
  </si>
  <si>
    <t xml:space="preserve">Pricing not found </t>
  </si>
  <si>
    <t>As discussed, please re share the price with 10% of discounts.</t>
  </si>
  <si>
    <t>Please check and confirm if the Discounts are given of UAE</t>
  </si>
  <si>
    <t>Please check and confirm the pricing for Bangladesh region, where we have 2 discount rate.</t>
  </si>
  <si>
    <t>Please check and confirm the pricing for Pakistan  region, where we have 2 discount rate.</t>
  </si>
  <si>
    <t>$3,866.51</t>
  </si>
  <si>
    <t>$3,818.04</t>
  </si>
  <si>
    <t>$5,939.49  </t>
  </si>
  <si>
    <t>$5,865.01</t>
  </si>
  <si>
    <t>$6,737.67  </t>
  </si>
  <si>
    <t>$6,653.20</t>
  </si>
  <si>
    <t>$7,289.41  </t>
  </si>
  <si>
    <t>$7,198.00</t>
  </si>
  <si>
    <t>$7,808.81  </t>
  </si>
  <si>
    <t>$7,710.89</t>
  </si>
  <si>
    <t>$8,560.95  </t>
  </si>
  <si>
    <t>$8,453.61</t>
  </si>
  <si>
    <t>$8,946.72  </t>
  </si>
  <si>
    <t>$8,834.55</t>
  </si>
  <si>
    <t>$11,990.44  </t>
  </si>
  <si>
    <t>$11,840.10</t>
  </si>
  <si>
    <t>$14,541.52  </t>
  </si>
  <si>
    <t>$14,359.20</t>
  </si>
  <si>
    <t>$19,790.89  </t>
  </si>
  <si>
    <t>$19,542.74</t>
  </si>
  <si>
    <t>$27,337.33  </t>
  </si>
  <si>
    <t>$26,994.55</t>
  </si>
  <si>
    <t>$33,873.73  </t>
  </si>
  <si>
    <t>$33,449.02</t>
  </si>
  <si>
    <t>$41,851.51  </t>
  </si>
  <si>
    <t>$41,326.75</t>
  </si>
  <si>
    <t>$46,096.55  </t>
  </si>
  <si>
    <t>$45,518.57</t>
  </si>
  <si>
    <t>China 17</t>
  </si>
  <si>
    <t>Incorrect Prcing post deduction of 1.3% on Column BH</t>
  </si>
  <si>
    <t>Descripencies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</si>
</sst>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$-540A]#,##0.00_ ;[Red]\-[$$-540A]#,##0.00\ "/>
    <numFmt numFmtId="167" formatCode="0.0%"/>
    <numFmt numFmtId="168" formatCode="0.00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4"/>
      <color rgb="FF29003A"/>
      <name val="Cambria"/>
      <family val="2"/>
      <scheme val="major"/>
    </font>
    <font>
      <sz val="12"/>
      <color theme="1"/>
      <name val="Cambria"/>
      <family val="2"/>
      <scheme val="maj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AF0"/>
        <bgColor indexed="64"/>
      </patternFill>
    </fill>
    <fill>
      <patternFill patternType="solid">
        <fgColor rgb="FFD9D2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9" fillId="34" borderId="16" applyNumberFormat="0" applyAlignment="0">
      <alignment vertical="center" wrapText="1"/>
      <protection hidden="1"/>
    </xf>
    <xf numFmtId="0" fontId="20" fillId="35" borderId="16" applyNumberFormat="0" applyAlignment="0">
      <alignment horizontal="left" vertical="center" indent="1"/>
      <protection hidden="1"/>
    </xf>
  </cellStyleXfs>
  <cellXfs count="96">
    <xf numFmtId="0" fontId="0" fillId="0" borderId="0" xfId="0"/>
    <xf numFmtId="0" fontId="16" fillId="0" borderId="14" xfId="0" applyFont="1" applyBorder="1"/>
    <xf numFmtId="0" fontId="0" fillId="0" borderId="0" xfId="0" applyAlignment="1">
      <alignment vertical="center" wrapText="1"/>
    </xf>
    <xf numFmtId="0" fontId="0" fillId="0" borderId="14" xfId="0" applyBorder="1" applyAlignment="1">
      <alignment horizontal="center"/>
    </xf>
    <xf numFmtId="1" fontId="0" fillId="0" borderId="14" xfId="1" applyNumberFormat="1" applyFont="1" applyBorder="1" applyAlignment="1">
      <alignment horizontal="center"/>
    </xf>
    <xf numFmtId="1" fontId="16" fillId="0" borderId="14" xfId="1" applyNumberFormat="1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64" fontId="16" fillId="0" borderId="14" xfId="2" applyFont="1" applyBorder="1"/>
    <xf numFmtId="0" fontId="16" fillId="0" borderId="0" xfId="0" applyFont="1"/>
    <xf numFmtId="0" fontId="0" fillId="0" borderId="0" xfId="0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10" fontId="0" fillId="0" borderId="14" xfId="3" applyNumberFormat="1" applyFont="1" applyBorder="1" applyAlignment="1">
      <alignment horizontal="center"/>
    </xf>
    <xf numFmtId="166" fontId="0" fillId="0" borderId="14" xfId="2" applyNumberFormat="1" applyFont="1" applyBorder="1"/>
    <xf numFmtId="166" fontId="16" fillId="0" borderId="14" xfId="2" applyNumberFormat="1" applyFont="1" applyBorder="1"/>
    <xf numFmtId="166" fontId="0" fillId="0" borderId="14" xfId="2" applyNumberFormat="1" applyFont="1" applyBorder="1" applyAlignment="1">
      <alignment horizontal="center"/>
    </xf>
    <xf numFmtId="1" fontId="0" fillId="0" borderId="0" xfId="0" applyNumberFormat="1"/>
    <xf numFmtId="166" fontId="0" fillId="0" borderId="0" xfId="0" applyNumberFormat="1"/>
    <xf numFmtId="1" fontId="16" fillId="0" borderId="0" xfId="0" applyNumberFormat="1" applyFont="1"/>
    <xf numFmtId="166" fontId="16" fillId="0" borderId="0" xfId="0" applyNumberFormat="1" applyFont="1"/>
    <xf numFmtId="167" fontId="0" fillId="0" borderId="14" xfId="3" applyNumberFormat="1" applyFont="1" applyBorder="1" applyAlignment="1">
      <alignment horizontal="center"/>
    </xf>
    <xf numFmtId="168" fontId="0" fillId="0" borderId="0" xfId="3" applyNumberFormat="1" applyFont="1"/>
    <xf numFmtId="0" fontId="14" fillId="0" borderId="0" xfId="0" applyFont="1"/>
    <xf numFmtId="166" fontId="14" fillId="0" borderId="17" xfId="2" applyNumberFormat="1" applyFont="1" applyFill="1" applyBorder="1"/>
    <xf numFmtId="0" fontId="22" fillId="0" borderId="0" xfId="0" applyFont="1" applyAlignment="1">
      <alignment horizontal="left"/>
    </xf>
    <xf numFmtId="0" fontId="22" fillId="0" borderId="0" xfId="0" applyFont="1"/>
    <xf numFmtId="9" fontId="22" fillId="0" borderId="0" xfId="3" applyFont="1"/>
    <xf numFmtId="9" fontId="22" fillId="0" borderId="0" xfId="3" applyFont="1" applyFill="1"/>
    <xf numFmtId="10" fontId="22" fillId="0" borderId="0" xfId="3" applyNumberFormat="1" applyFont="1" applyFill="1"/>
    <xf numFmtId="166" fontId="14" fillId="0" borderId="0" xfId="0" applyNumberFormat="1" applyFont="1"/>
    <xf numFmtId="10" fontId="22" fillId="0" borderId="0" xfId="3" applyNumberFormat="1" applyFont="1"/>
    <xf numFmtId="9" fontId="0" fillId="0" borderId="0" xfId="0" applyNumberFormat="1"/>
    <xf numFmtId="0" fontId="23" fillId="36" borderId="0" xfId="0" applyFont="1" applyFill="1" applyAlignment="1">
      <alignment vertical="center"/>
    </xf>
    <xf numFmtId="166" fontId="24" fillId="0" borderId="14" xfId="2" applyNumberFormat="1" applyFont="1" applyBorder="1"/>
    <xf numFmtId="166" fontId="25" fillId="0" borderId="0" xfId="0" applyNumberFormat="1" applyFont="1"/>
    <xf numFmtId="4" fontId="14" fillId="0" borderId="0" xfId="0" applyNumberFormat="1" applyFont="1"/>
    <xf numFmtId="168" fontId="14" fillId="0" borderId="0" xfId="3" applyNumberFormat="1" applyFont="1"/>
    <xf numFmtId="166" fontId="26" fillId="0" borderId="0" xfId="0" applyNumberFormat="1" applyFont="1"/>
    <xf numFmtId="4" fontId="0" fillId="0" borderId="0" xfId="0" applyNumberFormat="1"/>
    <xf numFmtId="0" fontId="21" fillId="0" borderId="0" xfId="0" applyFont="1" applyAlignment="1">
      <alignment vertical="center"/>
    </xf>
    <xf numFmtId="9" fontId="21" fillId="0" borderId="0" xfId="0" applyNumberFormat="1" applyFont="1" applyAlignment="1">
      <alignment horizontal="right" vertical="center"/>
    </xf>
    <xf numFmtId="0" fontId="14" fillId="37" borderId="0" xfId="0" applyFont="1" applyFill="1"/>
    <xf numFmtId="166" fontId="14" fillId="37" borderId="17" xfId="2" applyNumberFormat="1" applyFont="1" applyFill="1" applyBorder="1"/>
    <xf numFmtId="0" fontId="0" fillId="37" borderId="0" xfId="0" applyFill="1"/>
    <xf numFmtId="0" fontId="14" fillId="38" borderId="0" xfId="0" applyFont="1" applyFill="1"/>
    <xf numFmtId="0" fontId="0" fillId="38" borderId="0" xfId="0" applyFill="1" applyAlignment="1">
      <alignment vertical="center" wrapText="1"/>
    </xf>
    <xf numFmtId="0" fontId="16" fillId="38" borderId="14" xfId="0" applyFont="1" applyFill="1" applyBorder="1" applyAlignment="1">
      <alignment horizontal="center" vertical="center" wrapText="1"/>
    </xf>
    <xf numFmtId="0" fontId="16" fillId="38" borderId="10" xfId="0" applyFont="1" applyFill="1" applyBorder="1" applyAlignment="1">
      <alignment horizontal="center" vertical="center" wrapText="1"/>
    </xf>
    <xf numFmtId="0" fontId="0" fillId="38" borderId="0" xfId="0" applyFill="1" applyAlignment="1">
      <alignment horizontal="center" vertical="center" wrapText="1"/>
    </xf>
    <xf numFmtId="166" fontId="0" fillId="38" borderId="14" xfId="2" applyNumberFormat="1" applyFont="1" applyFill="1" applyBorder="1" applyAlignment="1">
      <alignment horizontal="center"/>
    </xf>
    <xf numFmtId="1" fontId="0" fillId="38" borderId="14" xfId="1" applyNumberFormat="1" applyFont="1" applyFill="1" applyBorder="1" applyAlignment="1">
      <alignment horizontal="center"/>
    </xf>
    <xf numFmtId="166" fontId="0" fillId="38" borderId="14" xfId="2" applyNumberFormat="1" applyFont="1" applyFill="1" applyBorder="1"/>
    <xf numFmtId="10" fontId="0" fillId="38" borderId="14" xfId="3" applyNumberFormat="1" applyFont="1" applyFill="1" applyBorder="1" applyAlignment="1">
      <alignment horizontal="center"/>
    </xf>
    <xf numFmtId="167" fontId="0" fillId="38" borderId="14" xfId="3" applyNumberFormat="1" applyFont="1" applyFill="1" applyBorder="1" applyAlignment="1">
      <alignment horizontal="center"/>
    </xf>
    <xf numFmtId="0" fontId="0" fillId="38" borderId="0" xfId="0" applyFill="1"/>
    <xf numFmtId="164" fontId="16" fillId="38" borderId="14" xfId="2" applyFont="1" applyFill="1" applyBorder="1"/>
    <xf numFmtId="1" fontId="16" fillId="38" borderId="14" xfId="1" applyNumberFormat="1" applyFont="1" applyFill="1" applyBorder="1" applyAlignment="1">
      <alignment horizontal="center"/>
    </xf>
    <xf numFmtId="0" fontId="16" fillId="38" borderId="14" xfId="0" applyFont="1" applyFill="1" applyBorder="1"/>
    <xf numFmtId="166" fontId="16" fillId="38" borderId="14" xfId="2" applyNumberFormat="1" applyFont="1" applyFill="1" applyBorder="1"/>
    <xf numFmtId="0" fontId="16" fillId="38" borderId="0" xfId="0" applyFont="1" applyFill="1"/>
    <xf numFmtId="0" fontId="0" fillId="38" borderId="14" xfId="0" applyFill="1" applyBorder="1"/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16" fillId="37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28" fillId="0" borderId="14" xfId="0" applyFont="1" applyBorder="1" applyAlignment="1">
      <alignment horizontal="center"/>
    </xf>
    <xf numFmtId="10" fontId="29" fillId="0" borderId="14" xfId="0" applyNumberFormat="1" applyFont="1" applyBorder="1" applyAlignment="1">
      <alignment horizontal="center"/>
    </xf>
    <xf numFmtId="0" fontId="27" fillId="37" borderId="14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4" xfId="0" applyFont="1" applyFill="1" applyBorder="1" applyAlignment="1">
      <alignment horizontal="center" vertical="center" wrapText="1"/>
    </xf>
    <xf numFmtId="0" fontId="16" fillId="37" borderId="13" xfId="0" applyFont="1" applyFill="1" applyBorder="1" applyAlignment="1">
      <alignment horizontal="center" vertical="center" wrapText="1"/>
    </xf>
    <xf numFmtId="0" fontId="16" fillId="37" borderId="14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7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16" fillId="37" borderId="11" xfId="0" applyFont="1" applyFill="1" applyBorder="1" applyAlignment="1">
      <alignment horizontal="center" vertical="center" wrapText="1"/>
    </xf>
    <xf numFmtId="0" fontId="16" fillId="38" borderId="11" xfId="0" applyFont="1" applyFill="1" applyBorder="1" applyAlignment="1">
      <alignment horizontal="center" vertical="center" wrapText="1"/>
    </xf>
    <xf numFmtId="0" fontId="16" fillId="38" borderId="13" xfId="0" applyFont="1" applyFill="1" applyBorder="1" applyAlignment="1">
      <alignment horizontal="center" vertical="center" wrapText="1"/>
    </xf>
    <xf numFmtId="0" fontId="16" fillId="38" borderId="12" xfId="0" applyFont="1" applyFill="1" applyBorder="1" applyAlignment="1">
      <alignment horizontal="center" vertical="center" wrapText="1"/>
    </xf>
    <xf numFmtId="0" fontId="16" fillId="38" borderId="14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/>
    </xf>
    <xf numFmtId="0" fontId="16" fillId="37" borderId="12" xfId="0" applyFont="1" applyFill="1" applyBorder="1" applyAlignment="1">
      <alignment horizontal="center" vertical="center" wrapText="1"/>
    </xf>
    <xf numFmtId="0" fontId="27" fillId="39" borderId="14" xfId="0" applyFont="1" applyFill="1" applyBorder="1" applyAlignment="1">
      <alignment horizontal="center" vertical="center"/>
    </xf>
    <xf numFmtId="0" fontId="27" fillId="43" borderId="14" xfId="0" applyFont="1" applyFill="1" applyBorder="1" applyAlignment="1">
      <alignment horizontal="center"/>
    </xf>
    <xf numFmtId="0" fontId="27" fillId="45" borderId="14" xfId="0" applyFont="1" applyFill="1" applyBorder="1" applyAlignment="1">
      <alignment horizontal="center"/>
    </xf>
    <xf numFmtId="0" fontId="27" fillId="44" borderId="14" xfId="0" applyFont="1" applyFill="1" applyBorder="1" applyAlignment="1">
      <alignment horizontal="center" wrapText="1"/>
    </xf>
    <xf numFmtId="0" fontId="27" fillId="46" borderId="14" xfId="0" applyFont="1" applyFill="1" applyBorder="1" applyAlignment="1">
      <alignment horizontal="center" wrapText="1"/>
    </xf>
    <xf numFmtId="0" fontId="27" fillId="40" borderId="14" xfId="0" applyFont="1" applyFill="1" applyBorder="1" applyAlignment="1">
      <alignment horizontal="center" wrapText="1"/>
    </xf>
    <xf numFmtId="0" fontId="27" fillId="42" borderId="14" xfId="0" applyFont="1" applyFill="1" applyBorder="1" applyAlignment="1">
      <alignment horizontal="center" wrapText="1"/>
    </xf>
    <xf numFmtId="0" fontId="27" fillId="41" borderId="14" xfId="0" applyFont="1" applyFill="1" applyBorder="1" applyAlignment="1">
      <alignment horizontal="center" wrapText="1"/>
    </xf>
  </cellXfs>
  <cellStyles count="52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eft Label Display" xfId="50" xr:uid="{BEB9F3C7-8CD9-4F6F-BC60-9ADB5FF4ECA7}"/>
    <cellStyle name="Linked Cell" xfId="15" builtinId="24" customBuiltin="1"/>
    <cellStyle name="Neutral" xfId="11" builtinId="28" customBuiltin="1"/>
    <cellStyle name="Normal" xfId="0" builtinId="0"/>
    <cellStyle name="Normal 2" xfId="44" xr:uid="{00000000-0005-0000-0000-000027000000}"/>
    <cellStyle name="Normal 2 2" xfId="46" xr:uid="{00000000-0005-0000-0000-000028000000}"/>
    <cellStyle name="Normal 3" xfId="48" xr:uid="{00000000-0005-0000-0000-000029000000}"/>
    <cellStyle name="Normal 4" xfId="49" xr:uid="{00000000-0005-0000-0000-00002A000000}"/>
    <cellStyle name="Note 2" xfId="47" xr:uid="{00000000-0005-0000-0000-00002B000000}"/>
    <cellStyle name="Output" xfId="13" builtinId="21" customBuiltin="1"/>
    <cellStyle name="Percent" xfId="3" builtinId="5"/>
    <cellStyle name="Percent 2" xfId="45" xr:uid="{00000000-0005-0000-0000-00002E000000}"/>
    <cellStyle name="Result Display Small" xfId="51" xr:uid="{E34FB28C-F677-4112-BFD9-F0273DACEA24}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9DC723-B395-4B3B-9B63-3EAAF12A1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0"/>
          <a:ext cx="2040255" cy="81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0</xdr:rowOff>
    </xdr:from>
    <xdr:to>
      <xdr:col>3</xdr:col>
      <xdr:colOff>276225</xdr:colOff>
      <xdr:row>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C36274-C92A-4E17-A3D2-C9CCBA195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0"/>
          <a:ext cx="2025015" cy="81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DE43-86B9-4B70-A3BB-EC3D3749A153}">
  <dimension ref="A6:BK60"/>
  <sheetViews>
    <sheetView tabSelected="1" view="pageBreakPreview" topLeftCell="A14" zoomScale="70" zoomScaleNormal="70" zoomScaleSheetLayoutView="70" workbookViewId="0">
      <selection activeCell="Q35" sqref="Q35"/>
    </sheetView>
  </sheetViews>
  <sheetFormatPr defaultRowHeight="15" x14ac:dyDescent="0.25"/>
  <cols>
    <col min="1" max="1" width="19.140625" bestFit="1" customWidth="1"/>
    <col min="2" max="2" width="10.7109375" bestFit="1" customWidth="1"/>
    <col min="3" max="3" width="11.5703125" bestFit="1" customWidth="1"/>
    <col min="4" max="4" width="12.7109375" bestFit="1" customWidth="1"/>
    <col min="5" max="5" width="11.28515625" bestFit="1" customWidth="1"/>
    <col min="6" max="6" width="11.85546875" bestFit="1" customWidth="1"/>
    <col min="7" max="8" width="11.5703125" bestFit="1" customWidth="1"/>
    <col min="9" max="9" width="12.7109375" bestFit="1" customWidth="1"/>
    <col min="10" max="10" width="11.28515625" customWidth="1"/>
    <col min="11" max="11" width="11.85546875" bestFit="1" customWidth="1"/>
    <col min="12" max="13" width="11.5703125" bestFit="1" customWidth="1"/>
    <col min="14" max="14" width="12.7109375" bestFit="1" customWidth="1"/>
    <col min="15" max="15" width="11.28515625" customWidth="1"/>
    <col min="16" max="16" width="11.85546875" bestFit="1" customWidth="1"/>
    <col min="17" max="18" width="11.5703125" bestFit="1" customWidth="1"/>
    <col min="19" max="19" width="12.7109375" bestFit="1" customWidth="1"/>
    <col min="20" max="20" width="11.7109375" customWidth="1"/>
    <col min="21" max="21" width="11.85546875" bestFit="1" customWidth="1"/>
    <col min="22" max="22" width="11.5703125" bestFit="1" customWidth="1"/>
    <col min="23" max="23" width="11.5703125" style="43" bestFit="1" customWidth="1"/>
    <col min="24" max="24" width="12.7109375" style="43" bestFit="1" customWidth="1"/>
    <col min="25" max="25" width="11.28515625" style="43" customWidth="1"/>
    <col min="26" max="26" width="11.85546875" style="43" bestFit="1" customWidth="1"/>
    <col min="27" max="27" width="11.5703125" style="43" bestFit="1" customWidth="1"/>
    <col min="29" max="29" width="11.5703125" bestFit="1" customWidth="1"/>
    <col min="30" max="30" width="12.7109375" bestFit="1" customWidth="1"/>
    <col min="31" max="31" width="10.85546875" customWidth="1"/>
    <col min="32" max="32" width="11.85546875" bestFit="1" customWidth="1"/>
    <col min="33" max="34" width="11.5703125" bestFit="1" customWidth="1"/>
    <col min="35" max="35" width="12.7109375" bestFit="1" customWidth="1"/>
    <col min="36" max="36" width="10.85546875" customWidth="1"/>
    <col min="37" max="37" width="11.85546875" bestFit="1" customWidth="1"/>
    <col min="38" max="39" width="11.5703125" bestFit="1" customWidth="1"/>
    <col min="40" max="40" width="12.7109375" bestFit="1" customWidth="1"/>
    <col min="41" max="41" width="10.85546875" customWidth="1"/>
    <col min="42" max="42" width="11.85546875" bestFit="1" customWidth="1"/>
    <col min="43" max="44" width="11.5703125" bestFit="1" customWidth="1"/>
    <col min="45" max="45" width="12.7109375" bestFit="1" customWidth="1"/>
    <col min="46" max="46" width="11.7109375" customWidth="1"/>
    <col min="47" max="47" width="12.28515625" customWidth="1"/>
    <col min="48" max="49" width="11.5703125" bestFit="1" customWidth="1"/>
    <col min="50" max="50" width="12.7109375" bestFit="1" customWidth="1"/>
    <col min="51" max="51" width="11.7109375" customWidth="1"/>
    <col min="52" max="52" width="11.85546875" bestFit="1" customWidth="1"/>
    <col min="53" max="54" width="11.5703125" bestFit="1" customWidth="1"/>
    <col min="55" max="55" width="12.7109375" bestFit="1" customWidth="1"/>
    <col min="56" max="56" width="11.7109375" customWidth="1"/>
    <col min="57" max="57" width="11.85546875" bestFit="1" customWidth="1"/>
    <col min="58" max="58" width="11.5703125" bestFit="1" customWidth="1"/>
    <col min="59" max="59" width="25" customWidth="1"/>
    <col min="60" max="60" width="16.5703125" customWidth="1"/>
    <col min="61" max="61" width="14.28515625" customWidth="1"/>
    <col min="62" max="62" width="11.5703125" customWidth="1"/>
  </cols>
  <sheetData>
    <row r="6" spans="2:62" ht="30.75" customHeight="1" x14ac:dyDescent="0.25">
      <c r="C6" s="73" t="s">
        <v>19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1"/>
      <c r="S6" s="71"/>
      <c r="T6" s="71"/>
      <c r="U6" s="71"/>
      <c r="V6" s="71"/>
      <c r="W6" s="71"/>
      <c r="X6" s="71"/>
      <c r="Y6" s="71"/>
      <c r="Z6" s="71"/>
      <c r="AA6" s="71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61"/>
      <c r="BH6" s="61"/>
      <c r="BI6" s="61"/>
      <c r="BJ6" s="61"/>
    </row>
    <row r="7" spans="2:62" x14ac:dyDescent="0.25">
      <c r="B7" s="8"/>
      <c r="C7" s="69">
        <v>2024</v>
      </c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4"/>
      <c r="S7" s="74"/>
      <c r="T7" s="74"/>
      <c r="U7" s="74"/>
      <c r="V7" s="74"/>
      <c r="W7" s="74"/>
      <c r="X7" s="74"/>
      <c r="Y7" s="74"/>
      <c r="Z7" s="74"/>
      <c r="AA7" s="74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62"/>
      <c r="BH7" s="62"/>
      <c r="BI7" s="62"/>
      <c r="BJ7" s="62"/>
    </row>
    <row r="8" spans="2:62" x14ac:dyDescent="0.25">
      <c r="B8" s="8"/>
      <c r="C8" s="69" t="s">
        <v>96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4"/>
      <c r="S8" s="74"/>
      <c r="T8" s="74"/>
      <c r="U8" s="74"/>
      <c r="V8" s="74"/>
      <c r="W8" s="74"/>
      <c r="X8" s="74"/>
      <c r="Y8" s="74"/>
      <c r="Z8" s="74"/>
      <c r="AA8" s="74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62"/>
      <c r="BH8" s="62"/>
      <c r="BI8" s="62"/>
      <c r="BJ8" s="62"/>
    </row>
    <row r="9" spans="2:62" s="2" customFormat="1" ht="64.900000000000006" customHeight="1" x14ac:dyDescent="0.25">
      <c r="B9" s="77" t="s">
        <v>15</v>
      </c>
      <c r="C9" s="80" t="s">
        <v>132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6"/>
      <c r="S9" s="76"/>
      <c r="T9" s="76"/>
      <c r="U9" s="76"/>
      <c r="V9" s="76"/>
      <c r="W9" s="76"/>
      <c r="X9" s="76"/>
      <c r="Y9" s="76"/>
      <c r="Z9" s="76"/>
      <c r="AA9" s="76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63"/>
      <c r="BH9" s="63"/>
      <c r="BI9" s="63"/>
      <c r="BJ9" s="63"/>
    </row>
    <row r="10" spans="2:62" s="2" customFormat="1" ht="30.6" customHeight="1" x14ac:dyDescent="0.35">
      <c r="B10" s="78"/>
      <c r="C10" s="81" t="s">
        <v>71</v>
      </c>
      <c r="D10" s="82"/>
      <c r="E10" s="82"/>
      <c r="F10" s="82"/>
      <c r="G10" s="83"/>
      <c r="H10" s="81" t="s">
        <v>84</v>
      </c>
      <c r="I10" s="82"/>
      <c r="J10" s="82"/>
      <c r="K10" s="82"/>
      <c r="L10" s="83"/>
      <c r="M10" s="81" t="s">
        <v>77</v>
      </c>
      <c r="N10" s="82"/>
      <c r="O10" s="82"/>
      <c r="P10" s="82"/>
      <c r="Q10" s="83"/>
      <c r="R10" s="81" t="s">
        <v>122</v>
      </c>
      <c r="S10" s="82"/>
      <c r="T10" s="82"/>
      <c r="U10" s="82"/>
      <c r="V10" s="83"/>
      <c r="W10" s="81" t="s">
        <v>36</v>
      </c>
      <c r="X10" s="82"/>
      <c r="Y10" s="82"/>
      <c r="Z10" s="82"/>
      <c r="AA10" s="83"/>
      <c r="AB10" s="45"/>
      <c r="AC10" s="81" t="s">
        <v>122</v>
      </c>
      <c r="AD10" s="82"/>
      <c r="AE10" s="82"/>
      <c r="AF10" s="82"/>
      <c r="AG10" s="83"/>
      <c r="AH10" s="81" t="s">
        <v>125</v>
      </c>
      <c r="AI10" s="82"/>
      <c r="AJ10" s="82"/>
      <c r="AK10" s="82"/>
      <c r="AL10" s="83"/>
      <c r="AM10" s="81" t="s">
        <v>126</v>
      </c>
      <c r="AN10" s="82"/>
      <c r="AO10" s="82"/>
      <c r="AP10" s="82"/>
      <c r="AQ10" s="83"/>
      <c r="AR10" s="81" t="s">
        <v>122</v>
      </c>
      <c r="AS10" s="82"/>
      <c r="AT10" s="82"/>
      <c r="AU10" s="82"/>
      <c r="AV10" s="83"/>
      <c r="AW10" s="81" t="s">
        <v>124</v>
      </c>
      <c r="AX10" s="82"/>
      <c r="AY10" s="82"/>
      <c r="AZ10" s="82"/>
      <c r="BA10" s="83"/>
      <c r="BB10" s="81" t="s">
        <v>130</v>
      </c>
      <c r="BC10" s="82"/>
      <c r="BD10" s="82"/>
      <c r="BE10" s="82"/>
      <c r="BF10" s="83"/>
      <c r="BG10" s="84" t="s">
        <v>179</v>
      </c>
      <c r="BH10" s="84"/>
      <c r="BI10" s="84"/>
      <c r="BJ10" s="64"/>
    </row>
    <row r="11" spans="2:62" s="9" customFormat="1" ht="30" x14ac:dyDescent="0.35">
      <c r="B11" s="79"/>
      <c r="C11" s="46" t="s">
        <v>145</v>
      </c>
      <c r="D11" s="46" t="s">
        <v>14</v>
      </c>
      <c r="E11" s="46" t="s">
        <v>16</v>
      </c>
      <c r="F11" s="46" t="s">
        <v>17</v>
      </c>
      <c r="G11" s="47" t="s">
        <v>18</v>
      </c>
      <c r="H11" s="46" t="s">
        <v>145</v>
      </c>
      <c r="I11" s="46" t="s">
        <v>14</v>
      </c>
      <c r="J11" s="46" t="s">
        <v>16</v>
      </c>
      <c r="K11" s="46" t="s">
        <v>17</v>
      </c>
      <c r="L11" s="47" t="s">
        <v>18</v>
      </c>
      <c r="M11" s="46" t="s">
        <v>145</v>
      </c>
      <c r="N11" s="46" t="s">
        <v>14</v>
      </c>
      <c r="O11" s="46" t="s">
        <v>16</v>
      </c>
      <c r="P11" s="46" t="s">
        <v>17</v>
      </c>
      <c r="Q11" s="47" t="s">
        <v>18</v>
      </c>
      <c r="R11" s="46" t="s">
        <v>145</v>
      </c>
      <c r="S11" s="46" t="s">
        <v>14</v>
      </c>
      <c r="T11" s="46" t="s">
        <v>16</v>
      </c>
      <c r="U11" s="46" t="s">
        <v>17</v>
      </c>
      <c r="V11" s="47" t="s">
        <v>18</v>
      </c>
      <c r="W11" s="46" t="s">
        <v>145</v>
      </c>
      <c r="X11" s="46" t="s">
        <v>14</v>
      </c>
      <c r="Y11" s="46" t="s">
        <v>16</v>
      </c>
      <c r="Z11" s="46" t="s">
        <v>17</v>
      </c>
      <c r="AA11" s="47" t="s">
        <v>18</v>
      </c>
      <c r="AB11" s="48"/>
      <c r="AC11" s="46" t="s">
        <v>145</v>
      </c>
      <c r="AD11" s="46" t="s">
        <v>14</v>
      </c>
      <c r="AE11" s="46" t="s">
        <v>16</v>
      </c>
      <c r="AF11" s="46" t="s">
        <v>17</v>
      </c>
      <c r="AG11" s="47" t="s">
        <v>18</v>
      </c>
      <c r="AH11" s="46" t="s">
        <v>145</v>
      </c>
      <c r="AI11" s="46" t="s">
        <v>14</v>
      </c>
      <c r="AJ11" s="46" t="s">
        <v>16</v>
      </c>
      <c r="AK11" s="46" t="s">
        <v>17</v>
      </c>
      <c r="AL11" s="47" t="s">
        <v>18</v>
      </c>
      <c r="AM11" s="46" t="s">
        <v>145</v>
      </c>
      <c r="AN11" s="46" t="s">
        <v>14</v>
      </c>
      <c r="AO11" s="46" t="s">
        <v>16</v>
      </c>
      <c r="AP11" s="46" t="s">
        <v>17</v>
      </c>
      <c r="AQ11" s="47" t="s">
        <v>18</v>
      </c>
      <c r="AR11" s="46" t="s">
        <v>145</v>
      </c>
      <c r="AS11" s="46" t="s">
        <v>14</v>
      </c>
      <c r="AT11" s="46" t="s">
        <v>16</v>
      </c>
      <c r="AU11" s="46" t="s">
        <v>17</v>
      </c>
      <c r="AV11" s="47" t="s">
        <v>18</v>
      </c>
      <c r="AW11" s="46" t="s">
        <v>145</v>
      </c>
      <c r="AX11" s="46" t="s">
        <v>14</v>
      </c>
      <c r="AY11" s="46" t="s">
        <v>16</v>
      </c>
      <c r="AZ11" s="46" t="s">
        <v>17</v>
      </c>
      <c r="BA11" s="47" t="s">
        <v>18</v>
      </c>
      <c r="BB11" s="46" t="s">
        <v>145</v>
      </c>
      <c r="BC11" s="46" t="s">
        <v>14</v>
      </c>
      <c r="BD11" s="46" t="s">
        <v>16</v>
      </c>
      <c r="BE11" s="46" t="s">
        <v>17</v>
      </c>
      <c r="BF11" s="47" t="s">
        <v>18</v>
      </c>
      <c r="BG11" s="47" t="s">
        <v>145</v>
      </c>
      <c r="BH11" s="47" t="s">
        <v>17</v>
      </c>
      <c r="BI11" s="47" t="s">
        <v>18</v>
      </c>
      <c r="BJ11" s="64"/>
    </row>
    <row r="12" spans="2:62" ht="21" x14ac:dyDescent="0.35">
      <c r="B12" s="3" t="s">
        <v>0</v>
      </c>
      <c r="C12" s="49">
        <v>2594.9</v>
      </c>
      <c r="D12" s="50">
        <v>0</v>
      </c>
      <c r="E12" s="51">
        <v>2440.21</v>
      </c>
      <c r="F12" s="51">
        <f t="shared" ref="F12:F25" si="0">D12*E12</f>
        <v>0</v>
      </c>
      <c r="G12" s="52">
        <f>(E12/C12)-1</f>
        <v>-5.9613087209526405E-2</v>
      </c>
      <c r="H12" s="49">
        <v>2250.27</v>
      </c>
      <c r="I12" s="50">
        <v>0</v>
      </c>
      <c r="J12" s="51">
        <v>2135.62</v>
      </c>
      <c r="K12" s="51">
        <f t="shared" ref="K12:K25" si="1">I12*J12</f>
        <v>0</v>
      </c>
      <c r="L12" s="52">
        <f>(J12/H12)-1</f>
        <v>-5.0949441622560876E-2</v>
      </c>
      <c r="M12" s="49">
        <v>1887.75</v>
      </c>
      <c r="N12" s="50">
        <v>0</v>
      </c>
      <c r="O12" s="51">
        <v>1742.3</v>
      </c>
      <c r="P12" s="51">
        <f t="shared" ref="P12:P25" si="2">N12*O12</f>
        <v>0</v>
      </c>
      <c r="Q12" s="52">
        <f>(O12/M12)-1</f>
        <v>-7.7049397430803857E-2</v>
      </c>
      <c r="R12" s="51">
        <v>1951.64</v>
      </c>
      <c r="S12" s="50">
        <v>0</v>
      </c>
      <c r="T12" s="51">
        <v>1951.71</v>
      </c>
      <c r="U12" s="51">
        <f>S12*T12</f>
        <v>0</v>
      </c>
      <c r="V12" s="53">
        <f>(T12/R12)-1</f>
        <v>3.5867270603118229E-5</v>
      </c>
      <c r="W12" s="51">
        <v>3559.03</v>
      </c>
      <c r="X12" s="50">
        <v>0</v>
      </c>
      <c r="Y12" s="51">
        <v>3452.46</v>
      </c>
      <c r="Z12" s="51">
        <f>X12*Y12</f>
        <v>0</v>
      </c>
      <c r="AA12" s="53">
        <f>(Y12/W12)-1</f>
        <v>-2.9943552035245569E-2</v>
      </c>
      <c r="AB12" s="54"/>
      <c r="AC12" s="51">
        <v>617.69000000000005</v>
      </c>
      <c r="AD12" s="50">
        <v>0</v>
      </c>
      <c r="AE12" s="51">
        <v>617.69000000000005</v>
      </c>
      <c r="AF12" s="51">
        <f t="shared" ref="AF12:AF25" si="3">AD12*AE12</f>
        <v>0</v>
      </c>
      <c r="AG12" s="53">
        <f>(AE12/AC12)-1</f>
        <v>0</v>
      </c>
      <c r="AH12" s="51">
        <v>483.32</v>
      </c>
      <c r="AI12" s="50">
        <v>24</v>
      </c>
      <c r="AJ12" s="51">
        <v>435.04</v>
      </c>
      <c r="AK12" s="51">
        <f t="shared" ref="AK12:AK25" si="4">AI12*AJ12</f>
        <v>10440.960000000001</v>
      </c>
      <c r="AL12" s="53">
        <f>(AJ12/AH12)-1</f>
        <v>-9.9892410825126121E-2</v>
      </c>
      <c r="AM12" s="51">
        <v>483.32</v>
      </c>
      <c r="AN12" s="50">
        <v>0</v>
      </c>
      <c r="AO12" s="51">
        <v>455.2</v>
      </c>
      <c r="AP12" s="51">
        <f t="shared" ref="AP12:AP25" si="5">AN12*AO12</f>
        <v>0</v>
      </c>
      <c r="AQ12" s="53">
        <f>(AO12/AM12)-1</f>
        <v>-5.818091533559544E-2</v>
      </c>
      <c r="AR12" s="51">
        <v>1835.01</v>
      </c>
      <c r="AS12" s="50">
        <v>14</v>
      </c>
      <c r="AT12" s="51">
        <v>1835.17</v>
      </c>
      <c r="AU12" s="51">
        <f t="shared" ref="AU12:AU25" si="6">AS12*AT12</f>
        <v>25692.38</v>
      </c>
      <c r="AV12" s="52">
        <f>(AT12/AR12)-1</f>
        <v>8.7192985324335837E-5</v>
      </c>
      <c r="AW12" s="51">
        <v>1835.01</v>
      </c>
      <c r="AX12" s="50">
        <v>0</v>
      </c>
      <c r="AY12" s="51">
        <v>1651.58</v>
      </c>
      <c r="AZ12" s="51">
        <f t="shared" ref="AZ12:AZ25" si="7">AX12*AY12</f>
        <v>0</v>
      </c>
      <c r="BA12" s="52">
        <f>(AY12/AW12)-1</f>
        <v>-9.9961308112762381E-2</v>
      </c>
      <c r="BB12" s="51">
        <v>1835.01</v>
      </c>
      <c r="BC12" s="50">
        <v>3</v>
      </c>
      <c r="BD12" s="51">
        <v>1749.21</v>
      </c>
      <c r="BE12" s="51">
        <f t="shared" ref="BE12:BE25" si="8">BC12*BD12</f>
        <v>5247.63</v>
      </c>
      <c r="BF12" s="52">
        <f>(BD12/BB12)-1</f>
        <v>-4.6757238380172317E-2</v>
      </c>
      <c r="BG12" s="65" t="s">
        <v>151</v>
      </c>
      <c r="BH12" s="65" t="s">
        <v>152</v>
      </c>
      <c r="BI12" s="67">
        <v>-1.2999999999999999E-2</v>
      </c>
      <c r="BJ12" s="64"/>
    </row>
    <row r="13" spans="2:62" ht="21" x14ac:dyDescent="0.35">
      <c r="B13" s="3" t="s">
        <v>1</v>
      </c>
      <c r="C13" s="49">
        <v>3986.12</v>
      </c>
      <c r="D13" s="50">
        <v>0</v>
      </c>
      <c r="E13" s="51">
        <v>3748.48</v>
      </c>
      <c r="F13" s="51">
        <f t="shared" si="0"/>
        <v>0</v>
      </c>
      <c r="G13" s="52">
        <f t="shared" ref="G13:G25" si="9">(E13/C13)-1</f>
        <v>-5.9616870540776468E-2</v>
      </c>
      <c r="H13" s="49">
        <v>3456.71</v>
      </c>
      <c r="I13" s="50">
        <v>0</v>
      </c>
      <c r="J13" s="51">
        <v>3280.6</v>
      </c>
      <c r="K13" s="51">
        <f t="shared" si="1"/>
        <v>0</v>
      </c>
      <c r="L13" s="52">
        <f t="shared" ref="L13:L25" si="10">(J13/H13)-1</f>
        <v>-5.0947288028211801E-2</v>
      </c>
      <c r="M13" s="49">
        <v>2899.83</v>
      </c>
      <c r="N13" s="50">
        <v>0</v>
      </c>
      <c r="O13" s="51">
        <v>2676.41</v>
      </c>
      <c r="P13" s="51">
        <f t="shared" si="2"/>
        <v>0</v>
      </c>
      <c r="Q13" s="52">
        <f t="shared" ref="Q13:Q25" si="11">(O13/M13)-1</f>
        <v>-7.7045895793891428E-2</v>
      </c>
      <c r="R13" s="51">
        <v>2997.98</v>
      </c>
      <c r="S13" s="50">
        <v>0</v>
      </c>
      <c r="T13" s="51">
        <v>2998.09</v>
      </c>
      <c r="U13" s="51">
        <f t="shared" ref="U13:U25" si="12">S13*T13</f>
        <v>0</v>
      </c>
      <c r="V13" s="53">
        <f t="shared" ref="V13:V25" si="13">(T13/R13)-1</f>
        <v>3.66913721907558E-5</v>
      </c>
      <c r="W13" s="51">
        <v>5467.16</v>
      </c>
      <c r="X13" s="50">
        <v>0</v>
      </c>
      <c r="Y13" s="51">
        <v>5303.45</v>
      </c>
      <c r="Z13" s="51">
        <f t="shared" ref="Z13:Z25" si="14">X13*Y13</f>
        <v>0</v>
      </c>
      <c r="AA13" s="53">
        <f t="shared" ref="AA13:AA25" si="15">(Y13/W13)-1</f>
        <v>-2.9944248933632789E-2</v>
      </c>
      <c r="AB13" s="54"/>
      <c r="AC13" s="51">
        <v>753.05</v>
      </c>
      <c r="AD13" s="50">
        <v>9</v>
      </c>
      <c r="AE13" s="51">
        <v>753.07</v>
      </c>
      <c r="AF13" s="51">
        <f t="shared" si="3"/>
        <v>6777.63</v>
      </c>
      <c r="AG13" s="53">
        <f t="shared" ref="AG13:AG25" si="16">(AE13/AC13)-1</f>
        <v>2.6558661443631948E-5</v>
      </c>
      <c r="AH13" s="51">
        <v>589.23</v>
      </c>
      <c r="AI13" s="50">
        <v>40</v>
      </c>
      <c r="AJ13" s="51">
        <v>530.38</v>
      </c>
      <c r="AK13" s="51">
        <f t="shared" si="4"/>
        <v>21215.200000000001</v>
      </c>
      <c r="AL13" s="53">
        <f t="shared" ref="AL13:AL25" si="17">(AJ13/AH13)-1</f>
        <v>-9.9876109498837518E-2</v>
      </c>
      <c r="AM13" s="51">
        <v>589.23</v>
      </c>
      <c r="AN13" s="50">
        <v>0</v>
      </c>
      <c r="AO13" s="51">
        <v>554.96</v>
      </c>
      <c r="AP13" s="51">
        <f t="shared" si="5"/>
        <v>0</v>
      </c>
      <c r="AQ13" s="53">
        <f t="shared" ref="AQ13:AQ25" si="18">(AO13/AM13)-1</f>
        <v>-5.8160650340274511E-2</v>
      </c>
      <c r="AR13" s="51">
        <v>2237.17</v>
      </c>
      <c r="AS13" s="50">
        <v>8</v>
      </c>
      <c r="AT13" s="51">
        <v>2237.36</v>
      </c>
      <c r="AU13" s="51">
        <f t="shared" si="6"/>
        <v>17898.88</v>
      </c>
      <c r="AV13" s="52">
        <f t="shared" ref="AV13:AV25" si="19">(AT13/AR13)-1</f>
        <v>8.4928726918453989E-5</v>
      </c>
      <c r="AW13" s="51">
        <v>2237.17</v>
      </c>
      <c r="AX13" s="50">
        <v>0</v>
      </c>
      <c r="AY13" s="51">
        <v>2013.54</v>
      </c>
      <c r="AZ13" s="51">
        <f t="shared" si="7"/>
        <v>0</v>
      </c>
      <c r="BA13" s="52">
        <f t="shared" ref="BA13:BA25" si="20">(AY13/AW13)-1</f>
        <v>-9.9961111582937412E-2</v>
      </c>
      <c r="BB13" s="51">
        <v>2237.17</v>
      </c>
      <c r="BC13" s="50">
        <v>0</v>
      </c>
      <c r="BD13" s="51">
        <v>2132.5700000000002</v>
      </c>
      <c r="BE13" s="51">
        <f t="shared" si="8"/>
        <v>0</v>
      </c>
      <c r="BF13" s="52">
        <f t="shared" ref="BF13:BF25" si="21">(BD13/BB13)-1</f>
        <v>-4.6755499135067935E-2</v>
      </c>
      <c r="BG13" s="65" t="s">
        <v>153</v>
      </c>
      <c r="BH13" s="65" t="s">
        <v>154</v>
      </c>
      <c r="BI13" s="67">
        <v>-1.2999999999999999E-2</v>
      </c>
      <c r="BJ13" s="64"/>
    </row>
    <row r="14" spans="2:62" ht="21" x14ac:dyDescent="0.35">
      <c r="B14" s="3" t="s">
        <v>2</v>
      </c>
      <c r="C14" s="49">
        <v>4521.8</v>
      </c>
      <c r="D14" s="50">
        <v>0</v>
      </c>
      <c r="E14" s="51">
        <v>4252.22</v>
      </c>
      <c r="F14" s="51">
        <f t="shared" si="0"/>
        <v>0</v>
      </c>
      <c r="G14" s="52">
        <f t="shared" si="9"/>
        <v>-5.9617851298155555E-2</v>
      </c>
      <c r="H14" s="49">
        <v>3921.24</v>
      </c>
      <c r="I14" s="50">
        <v>0</v>
      </c>
      <c r="J14" s="51">
        <v>3721.47</v>
      </c>
      <c r="K14" s="51">
        <f t="shared" si="1"/>
        <v>0</v>
      </c>
      <c r="L14" s="52">
        <f t="shared" si="10"/>
        <v>-5.0945619242892537E-2</v>
      </c>
      <c r="M14" s="49">
        <v>3289.53</v>
      </c>
      <c r="N14" s="50">
        <v>0</v>
      </c>
      <c r="O14" s="51">
        <v>3036.08</v>
      </c>
      <c r="P14" s="51">
        <f t="shared" si="2"/>
        <v>0</v>
      </c>
      <c r="Q14" s="52">
        <f t="shared" si="11"/>
        <v>-7.7047480947126212E-2</v>
      </c>
      <c r="R14" s="51">
        <v>3400.87</v>
      </c>
      <c r="S14" s="50">
        <v>0</v>
      </c>
      <c r="T14" s="51">
        <v>3401</v>
      </c>
      <c r="U14" s="51">
        <f t="shared" si="12"/>
        <v>0</v>
      </c>
      <c r="V14" s="53">
        <f t="shared" si="13"/>
        <v>3.8225512883460766E-5</v>
      </c>
      <c r="W14" s="51">
        <v>6201.87</v>
      </c>
      <c r="X14" s="50">
        <v>0</v>
      </c>
      <c r="Y14" s="51">
        <v>6016.16</v>
      </c>
      <c r="Z14" s="51">
        <f t="shared" si="14"/>
        <v>0</v>
      </c>
      <c r="AA14" s="53">
        <f t="shared" si="15"/>
        <v>-2.994419425108874E-2</v>
      </c>
      <c r="AB14" s="54"/>
      <c r="AC14" s="51">
        <v>868.03</v>
      </c>
      <c r="AD14" s="50">
        <v>7</v>
      </c>
      <c r="AE14" s="51">
        <v>868.04</v>
      </c>
      <c r="AF14" s="51">
        <f t="shared" si="3"/>
        <v>6076.28</v>
      </c>
      <c r="AG14" s="53">
        <f t="shared" si="16"/>
        <v>1.1520339158854753E-5</v>
      </c>
      <c r="AH14" s="51">
        <v>679.2</v>
      </c>
      <c r="AI14" s="50">
        <v>43</v>
      </c>
      <c r="AJ14" s="51">
        <v>611.36</v>
      </c>
      <c r="AK14" s="51">
        <f t="shared" si="4"/>
        <v>26288.48</v>
      </c>
      <c r="AL14" s="53">
        <f t="shared" si="17"/>
        <v>-9.98822143698469E-2</v>
      </c>
      <c r="AM14" s="51">
        <v>679.2</v>
      </c>
      <c r="AN14" s="50">
        <v>0</v>
      </c>
      <c r="AO14" s="51">
        <v>639.70000000000005</v>
      </c>
      <c r="AP14" s="51">
        <f t="shared" si="5"/>
        <v>0</v>
      </c>
      <c r="AQ14" s="53">
        <f t="shared" si="18"/>
        <v>-5.815665488810362E-2</v>
      </c>
      <c r="AR14" s="51">
        <v>2578.75</v>
      </c>
      <c r="AS14" s="50">
        <v>10</v>
      </c>
      <c r="AT14" s="51">
        <v>2578.9699999999998</v>
      </c>
      <c r="AU14" s="51">
        <f t="shared" si="6"/>
        <v>25789.699999999997</v>
      </c>
      <c r="AV14" s="52">
        <f t="shared" si="19"/>
        <v>8.5312651478375301E-5</v>
      </c>
      <c r="AW14" s="51">
        <v>2578.75</v>
      </c>
      <c r="AX14" s="50">
        <v>0</v>
      </c>
      <c r="AY14" s="51">
        <v>2320.9699999999998</v>
      </c>
      <c r="AZ14" s="51">
        <f t="shared" si="7"/>
        <v>0</v>
      </c>
      <c r="BA14" s="52">
        <f t="shared" si="20"/>
        <v>-9.9963160445952548E-2</v>
      </c>
      <c r="BB14" s="51">
        <v>2578.75</v>
      </c>
      <c r="BC14" s="50">
        <v>4</v>
      </c>
      <c r="BD14" s="51">
        <v>2458.17</v>
      </c>
      <c r="BE14" s="51">
        <f t="shared" si="8"/>
        <v>9832.68</v>
      </c>
      <c r="BF14" s="52">
        <f t="shared" si="21"/>
        <v>-4.6759088705768281E-2</v>
      </c>
      <c r="BG14" s="65" t="s">
        <v>155</v>
      </c>
      <c r="BH14" s="65" t="s">
        <v>156</v>
      </c>
      <c r="BI14" s="67">
        <v>-1.2999999999999999E-2</v>
      </c>
      <c r="BJ14" s="64"/>
    </row>
    <row r="15" spans="2:62" ht="21" x14ac:dyDescent="0.35">
      <c r="B15" s="3" t="s">
        <v>3</v>
      </c>
      <c r="C15" s="49">
        <v>4892.08</v>
      </c>
      <c r="D15" s="50">
        <v>0</v>
      </c>
      <c r="E15" s="51">
        <v>4600.42</v>
      </c>
      <c r="F15" s="51">
        <f t="shared" si="0"/>
        <v>0</v>
      </c>
      <c r="G15" s="52">
        <f t="shared" si="9"/>
        <v>-5.9618812447874925E-2</v>
      </c>
      <c r="H15" s="49">
        <v>4242.34</v>
      </c>
      <c r="I15" s="50">
        <v>0</v>
      </c>
      <c r="J15" s="51">
        <v>4026.2</v>
      </c>
      <c r="K15" s="51">
        <f t="shared" si="1"/>
        <v>0</v>
      </c>
      <c r="L15" s="52">
        <f t="shared" si="10"/>
        <v>-5.0948297401905651E-2</v>
      </c>
      <c r="M15" s="49">
        <v>3558.9</v>
      </c>
      <c r="N15" s="50">
        <v>0</v>
      </c>
      <c r="O15" s="51">
        <v>3284.71</v>
      </c>
      <c r="P15" s="51">
        <f t="shared" si="2"/>
        <v>0</v>
      </c>
      <c r="Q15" s="52">
        <f t="shared" si="11"/>
        <v>-7.7043468487454025E-2</v>
      </c>
      <c r="R15" s="51">
        <v>3679.35</v>
      </c>
      <c r="S15" s="50">
        <v>0</v>
      </c>
      <c r="T15" s="51">
        <v>3679.49</v>
      </c>
      <c r="U15" s="51">
        <f t="shared" si="12"/>
        <v>0</v>
      </c>
      <c r="V15" s="53">
        <f t="shared" si="13"/>
        <v>3.8050199083983216E-5</v>
      </c>
      <c r="W15" s="51">
        <v>6709.73</v>
      </c>
      <c r="X15" s="50">
        <v>0</v>
      </c>
      <c r="Y15" s="51">
        <v>6508.81</v>
      </c>
      <c r="Z15" s="51">
        <f t="shared" si="14"/>
        <v>0</v>
      </c>
      <c r="AA15" s="53">
        <f t="shared" si="15"/>
        <v>-2.9944573030509347E-2</v>
      </c>
      <c r="AB15" s="54"/>
      <c r="AC15" s="51">
        <v>954.51</v>
      </c>
      <c r="AD15" s="50">
        <v>2</v>
      </c>
      <c r="AE15" s="51">
        <v>954.52</v>
      </c>
      <c r="AF15" s="51">
        <f t="shared" si="3"/>
        <v>1909.04</v>
      </c>
      <c r="AG15" s="53">
        <f t="shared" si="16"/>
        <v>1.0476579606288894E-5</v>
      </c>
      <c r="AH15" s="51">
        <v>746.85</v>
      </c>
      <c r="AI15" s="50">
        <v>27</v>
      </c>
      <c r="AJ15" s="51">
        <v>672.26</v>
      </c>
      <c r="AK15" s="51">
        <f t="shared" si="4"/>
        <v>18151.02</v>
      </c>
      <c r="AL15" s="53">
        <f t="shared" si="17"/>
        <v>-9.9872799089509301E-2</v>
      </c>
      <c r="AM15" s="51">
        <v>746.85</v>
      </c>
      <c r="AN15" s="50">
        <v>2</v>
      </c>
      <c r="AO15" s="51">
        <v>703.42</v>
      </c>
      <c r="AP15" s="51">
        <f t="shared" si="5"/>
        <v>1406.84</v>
      </c>
      <c r="AQ15" s="53">
        <f t="shared" si="18"/>
        <v>-5.8150900448550646E-2</v>
      </c>
      <c r="AR15" s="51">
        <v>2835.65</v>
      </c>
      <c r="AS15" s="50">
        <v>9</v>
      </c>
      <c r="AT15" s="51">
        <v>2835.9</v>
      </c>
      <c r="AU15" s="51">
        <f t="shared" si="6"/>
        <v>25523.100000000002</v>
      </c>
      <c r="AV15" s="52">
        <f t="shared" si="19"/>
        <v>8.8163207730085347E-5</v>
      </c>
      <c r="AW15" s="51">
        <v>2835.65</v>
      </c>
      <c r="AX15" s="50">
        <v>0</v>
      </c>
      <c r="AY15" s="51">
        <v>2552.1999999999998</v>
      </c>
      <c r="AZ15" s="51">
        <f t="shared" si="7"/>
        <v>0</v>
      </c>
      <c r="BA15" s="52">
        <f t="shared" si="20"/>
        <v>-9.9959444924444196E-2</v>
      </c>
      <c r="BB15" s="51">
        <v>2835.65</v>
      </c>
      <c r="BC15" s="50">
        <v>7</v>
      </c>
      <c r="BD15" s="51">
        <v>2703.07</v>
      </c>
      <c r="BE15" s="51">
        <f t="shared" si="8"/>
        <v>18921.490000000002</v>
      </c>
      <c r="BF15" s="52">
        <f t="shared" si="21"/>
        <v>-4.6754712323453185E-2</v>
      </c>
      <c r="BG15" s="65" t="s">
        <v>157</v>
      </c>
      <c r="BH15" s="65" t="s">
        <v>158</v>
      </c>
      <c r="BI15" s="67">
        <v>-1.2999999999999999E-2</v>
      </c>
      <c r="BJ15" s="64"/>
    </row>
    <row r="16" spans="2:62" ht="21" x14ac:dyDescent="0.35">
      <c r="B16" s="3" t="s">
        <v>4</v>
      </c>
      <c r="C16" s="49">
        <v>5240.66</v>
      </c>
      <c r="D16" s="50">
        <v>0</v>
      </c>
      <c r="E16" s="51">
        <v>4928.2299999999996</v>
      </c>
      <c r="F16" s="51">
        <f t="shared" si="0"/>
        <v>0</v>
      </c>
      <c r="G16" s="52">
        <f t="shared" si="9"/>
        <v>-5.9616536848412283E-2</v>
      </c>
      <c r="H16" s="49">
        <v>4544.62</v>
      </c>
      <c r="I16" s="50">
        <v>0</v>
      </c>
      <c r="J16" s="51">
        <v>4313.09</v>
      </c>
      <c r="K16" s="51">
        <f t="shared" si="1"/>
        <v>0</v>
      </c>
      <c r="L16" s="52">
        <f t="shared" si="10"/>
        <v>-5.094595367709509E-2</v>
      </c>
      <c r="M16" s="49">
        <v>3812.49</v>
      </c>
      <c r="N16" s="50">
        <v>0</v>
      </c>
      <c r="O16" s="51">
        <v>3518.76</v>
      </c>
      <c r="P16" s="51">
        <f t="shared" si="2"/>
        <v>0</v>
      </c>
      <c r="Q16" s="52">
        <f t="shared" si="11"/>
        <v>-7.7044136509210381E-2</v>
      </c>
      <c r="R16" s="51">
        <v>3941.53</v>
      </c>
      <c r="S16" s="50">
        <v>0</v>
      </c>
      <c r="T16" s="51">
        <v>3941.67</v>
      </c>
      <c r="U16" s="51">
        <f t="shared" si="12"/>
        <v>0</v>
      </c>
      <c r="V16" s="53">
        <f t="shared" si="13"/>
        <v>3.5519201934341993E-5</v>
      </c>
      <c r="W16" s="51">
        <v>7187.83</v>
      </c>
      <c r="X16" s="50">
        <v>0</v>
      </c>
      <c r="Y16" s="51">
        <v>6972.6</v>
      </c>
      <c r="Z16" s="51">
        <f t="shared" si="14"/>
        <v>0</v>
      </c>
      <c r="AA16" s="53">
        <f t="shared" si="15"/>
        <v>-2.9943668673299118E-2</v>
      </c>
      <c r="AB16" s="54"/>
      <c r="AC16" s="51">
        <v>1039.56</v>
      </c>
      <c r="AD16" s="50">
        <v>6</v>
      </c>
      <c r="AE16" s="51">
        <v>1039.57</v>
      </c>
      <c r="AF16" s="51">
        <f t="shared" si="3"/>
        <v>6237.42</v>
      </c>
      <c r="AG16" s="53">
        <f t="shared" si="16"/>
        <v>9.6194543846017666E-6</v>
      </c>
      <c r="AH16" s="51">
        <v>813.41</v>
      </c>
      <c r="AI16" s="50">
        <v>7</v>
      </c>
      <c r="AJ16" s="51">
        <v>732.17</v>
      </c>
      <c r="AK16" s="51">
        <f t="shared" si="4"/>
        <v>5125.1899999999996</v>
      </c>
      <c r="AL16" s="53">
        <f t="shared" si="17"/>
        <v>-9.9875831376550539E-2</v>
      </c>
      <c r="AM16" s="51">
        <v>813.41</v>
      </c>
      <c r="AN16" s="50">
        <v>1</v>
      </c>
      <c r="AO16" s="51">
        <v>766.1</v>
      </c>
      <c r="AP16" s="51">
        <f t="shared" si="5"/>
        <v>766.1</v>
      </c>
      <c r="AQ16" s="53">
        <f t="shared" si="18"/>
        <v>-5.8162550251410705E-2</v>
      </c>
      <c r="AR16" s="51">
        <v>3088.33</v>
      </c>
      <c r="AS16" s="50">
        <v>8</v>
      </c>
      <c r="AT16" s="51">
        <v>3088.59</v>
      </c>
      <c r="AU16" s="51">
        <f t="shared" si="6"/>
        <v>24708.720000000001</v>
      </c>
      <c r="AV16" s="52">
        <f t="shared" si="19"/>
        <v>8.4187894428433552E-5</v>
      </c>
      <c r="AW16" s="51">
        <v>3088.33</v>
      </c>
      <c r="AX16" s="50">
        <v>0</v>
      </c>
      <c r="AY16" s="51">
        <v>2779.62</v>
      </c>
      <c r="AZ16" s="51">
        <f t="shared" si="7"/>
        <v>0</v>
      </c>
      <c r="BA16" s="52">
        <f t="shared" si="20"/>
        <v>-9.9960172649943502E-2</v>
      </c>
      <c r="BB16" s="51">
        <v>3088.33</v>
      </c>
      <c r="BC16" s="50">
        <v>5</v>
      </c>
      <c r="BD16" s="51">
        <v>2943.93</v>
      </c>
      <c r="BE16" s="51">
        <f t="shared" si="8"/>
        <v>14719.65</v>
      </c>
      <c r="BF16" s="52">
        <f t="shared" si="21"/>
        <v>-4.6756661367146624E-2</v>
      </c>
      <c r="BG16" s="65" t="s">
        <v>159</v>
      </c>
      <c r="BH16" s="65" t="s">
        <v>160</v>
      </c>
      <c r="BI16" s="67">
        <v>-1.2999999999999999E-2</v>
      </c>
      <c r="BJ16" s="64"/>
    </row>
    <row r="17" spans="1:63" ht="21" x14ac:dyDescent="0.35">
      <c r="B17" s="3" t="s">
        <v>5</v>
      </c>
      <c r="C17" s="49">
        <v>5745.45</v>
      </c>
      <c r="D17" s="50">
        <v>0</v>
      </c>
      <c r="E17" s="51">
        <v>5402.92</v>
      </c>
      <c r="F17" s="51">
        <f t="shared" si="0"/>
        <v>0</v>
      </c>
      <c r="G17" s="52">
        <f t="shared" si="9"/>
        <v>-5.9617610456970227E-2</v>
      </c>
      <c r="H17" s="49">
        <v>4982.37</v>
      </c>
      <c r="I17" s="50">
        <v>0</v>
      </c>
      <c r="J17" s="51">
        <v>4728.5200000000004</v>
      </c>
      <c r="K17" s="51">
        <f t="shared" si="1"/>
        <v>0</v>
      </c>
      <c r="L17" s="52">
        <f t="shared" si="10"/>
        <v>-5.0949648460471564E-2</v>
      </c>
      <c r="M17" s="49">
        <v>4179.7</v>
      </c>
      <c r="N17" s="50">
        <v>0</v>
      </c>
      <c r="O17" s="51">
        <v>3857.69</v>
      </c>
      <c r="P17" s="51">
        <f t="shared" si="2"/>
        <v>0</v>
      </c>
      <c r="Q17" s="52">
        <f t="shared" si="11"/>
        <v>-7.7041414455582879E-2</v>
      </c>
      <c r="R17" s="51">
        <v>4321.17</v>
      </c>
      <c r="S17" s="50">
        <v>1</v>
      </c>
      <c r="T17" s="51">
        <v>4321.34</v>
      </c>
      <c r="U17" s="51">
        <f t="shared" si="12"/>
        <v>4321.34</v>
      </c>
      <c r="V17" s="53">
        <f t="shared" si="13"/>
        <v>3.9341196944375767E-5</v>
      </c>
      <c r="W17" s="51">
        <v>7880.15</v>
      </c>
      <c r="X17" s="50">
        <v>0</v>
      </c>
      <c r="Y17" s="51">
        <v>7644.19</v>
      </c>
      <c r="Z17" s="51">
        <f t="shared" si="14"/>
        <v>0</v>
      </c>
      <c r="AA17" s="53">
        <f t="shared" si="15"/>
        <v>-2.9943592444306222E-2</v>
      </c>
      <c r="AB17" s="54"/>
      <c r="AC17" s="51">
        <v>1221.0899999999999</v>
      </c>
      <c r="AD17" s="50">
        <v>0</v>
      </c>
      <c r="AE17" s="51">
        <v>1221.1199999999999</v>
      </c>
      <c r="AF17" s="51">
        <f t="shared" si="3"/>
        <v>0</v>
      </c>
      <c r="AG17" s="53">
        <f t="shared" si="16"/>
        <v>2.4568213645270731E-5</v>
      </c>
      <c r="AH17" s="51">
        <v>955.46</v>
      </c>
      <c r="AI17" s="50">
        <v>3</v>
      </c>
      <c r="AJ17" s="51">
        <v>860.03</v>
      </c>
      <c r="AK17" s="51">
        <f t="shared" si="4"/>
        <v>2580.09</v>
      </c>
      <c r="AL17" s="53">
        <f t="shared" si="17"/>
        <v>-9.9878592510413866E-2</v>
      </c>
      <c r="AM17" s="51">
        <v>955.46</v>
      </c>
      <c r="AN17" s="50">
        <v>0</v>
      </c>
      <c r="AO17" s="51">
        <v>899.88</v>
      </c>
      <c r="AP17" s="51">
        <f t="shared" si="5"/>
        <v>0</v>
      </c>
      <c r="AQ17" s="53">
        <f t="shared" si="18"/>
        <v>-5.8170933372407085E-2</v>
      </c>
      <c r="AR17" s="51">
        <v>3627.65</v>
      </c>
      <c r="AS17" s="50">
        <v>8</v>
      </c>
      <c r="AT17" s="51">
        <v>3627.95</v>
      </c>
      <c r="AU17" s="51">
        <f t="shared" si="6"/>
        <v>29023.599999999999</v>
      </c>
      <c r="AV17" s="52">
        <f t="shared" si="19"/>
        <v>8.269816547890052E-5</v>
      </c>
      <c r="AW17" s="51">
        <v>3627.65</v>
      </c>
      <c r="AX17" s="50">
        <v>0</v>
      </c>
      <c r="AY17" s="51">
        <v>3265.01</v>
      </c>
      <c r="AZ17" s="51">
        <f t="shared" si="7"/>
        <v>0</v>
      </c>
      <c r="BA17" s="52">
        <f t="shared" si="20"/>
        <v>-9.996554243105038E-2</v>
      </c>
      <c r="BB17" s="51">
        <v>3627.65</v>
      </c>
      <c r="BC17" s="50">
        <v>3</v>
      </c>
      <c r="BD17" s="51">
        <v>3458.02</v>
      </c>
      <c r="BE17" s="51">
        <f t="shared" si="8"/>
        <v>10374.06</v>
      </c>
      <c r="BF17" s="52">
        <f t="shared" si="21"/>
        <v>-4.6760299367359037E-2</v>
      </c>
      <c r="BG17" s="65" t="s">
        <v>161</v>
      </c>
      <c r="BH17" s="65" t="s">
        <v>162</v>
      </c>
      <c r="BI17" s="67">
        <v>-1.2999999999999999E-2</v>
      </c>
      <c r="BJ17" s="64"/>
    </row>
    <row r="18" spans="1:63" ht="21" x14ac:dyDescent="0.35">
      <c r="B18" s="3" t="s">
        <v>6</v>
      </c>
      <c r="C18" s="49">
        <v>6004.34</v>
      </c>
      <c r="D18" s="50">
        <v>0</v>
      </c>
      <c r="E18" s="51">
        <v>5646.38</v>
      </c>
      <c r="F18" s="51">
        <f t="shared" si="0"/>
        <v>0</v>
      </c>
      <c r="G18" s="52">
        <f t="shared" si="9"/>
        <v>-5.9616877125545864E-2</v>
      </c>
      <c r="H18" s="49">
        <v>5206.8900000000003</v>
      </c>
      <c r="I18" s="50">
        <v>0</v>
      </c>
      <c r="J18" s="51">
        <v>4941.6000000000004</v>
      </c>
      <c r="K18" s="51">
        <f t="shared" si="1"/>
        <v>0</v>
      </c>
      <c r="L18" s="52">
        <f t="shared" si="10"/>
        <v>-5.0949799208356628E-2</v>
      </c>
      <c r="M18" s="49">
        <v>4368.05</v>
      </c>
      <c r="N18" s="50">
        <v>0</v>
      </c>
      <c r="O18" s="51">
        <v>4031.51</v>
      </c>
      <c r="P18" s="51">
        <f t="shared" si="2"/>
        <v>0</v>
      </c>
      <c r="Q18" s="52">
        <f t="shared" si="11"/>
        <v>-7.7045821361934941E-2</v>
      </c>
      <c r="R18" s="51">
        <v>4515.88</v>
      </c>
      <c r="S18" s="50">
        <v>0</v>
      </c>
      <c r="T18" s="51">
        <v>4516.0600000000004</v>
      </c>
      <c r="U18" s="51">
        <f t="shared" si="12"/>
        <v>0</v>
      </c>
      <c r="V18" s="53">
        <f t="shared" si="13"/>
        <v>3.9859340815073807E-5</v>
      </c>
      <c r="W18" s="51">
        <v>8235.24</v>
      </c>
      <c r="X18" s="50">
        <v>0</v>
      </c>
      <c r="Y18" s="51">
        <v>7988.65</v>
      </c>
      <c r="Z18" s="51">
        <f t="shared" si="14"/>
        <v>0</v>
      </c>
      <c r="AA18" s="53">
        <f t="shared" si="15"/>
        <v>-2.9943268198619588E-2</v>
      </c>
      <c r="AB18" s="54"/>
      <c r="AC18" s="51">
        <v>1429.25</v>
      </c>
      <c r="AD18" s="50">
        <v>0</v>
      </c>
      <c r="AE18" s="51">
        <v>1429.28</v>
      </c>
      <c r="AF18" s="51">
        <f t="shared" si="3"/>
        <v>0</v>
      </c>
      <c r="AG18" s="53">
        <f t="shared" si="16"/>
        <v>2.0990029735878935E-5</v>
      </c>
      <c r="AH18" s="51">
        <v>1118.3399999999999</v>
      </c>
      <c r="AI18" s="50">
        <v>1</v>
      </c>
      <c r="AJ18" s="51">
        <v>1006.63</v>
      </c>
      <c r="AK18" s="51">
        <f t="shared" si="4"/>
        <v>1006.63</v>
      </c>
      <c r="AL18" s="53">
        <f t="shared" si="17"/>
        <v>-9.9889121376325551E-2</v>
      </c>
      <c r="AM18" s="51">
        <v>1118.3399999999999</v>
      </c>
      <c r="AN18" s="50">
        <v>0</v>
      </c>
      <c r="AO18" s="51">
        <v>1053.28</v>
      </c>
      <c r="AP18" s="51">
        <f t="shared" si="5"/>
        <v>0</v>
      </c>
      <c r="AQ18" s="53">
        <f t="shared" si="18"/>
        <v>-5.8175510131087127E-2</v>
      </c>
      <c r="AR18" s="51">
        <v>4246.05</v>
      </c>
      <c r="AS18" s="50">
        <v>4</v>
      </c>
      <c r="AT18" s="51">
        <v>4246.3999999999996</v>
      </c>
      <c r="AU18" s="51">
        <f t="shared" si="6"/>
        <v>16985.599999999999</v>
      </c>
      <c r="AV18" s="52">
        <f t="shared" si="19"/>
        <v>8.2429552171969789E-5</v>
      </c>
      <c r="AW18" s="51">
        <v>4246.05</v>
      </c>
      <c r="AX18" s="50">
        <v>0</v>
      </c>
      <c r="AY18" s="51">
        <v>3821.6</v>
      </c>
      <c r="AZ18" s="51">
        <f t="shared" si="7"/>
        <v>0</v>
      </c>
      <c r="BA18" s="52">
        <f t="shared" si="20"/>
        <v>-9.9963495484038156E-2</v>
      </c>
      <c r="BB18" s="51">
        <v>4246.05</v>
      </c>
      <c r="BC18" s="50">
        <v>3</v>
      </c>
      <c r="BD18" s="51">
        <v>4047.51</v>
      </c>
      <c r="BE18" s="51">
        <f t="shared" si="8"/>
        <v>12142.53</v>
      </c>
      <c r="BF18" s="52">
        <f t="shared" si="21"/>
        <v>-4.6758752252093139E-2</v>
      </c>
      <c r="BG18" s="65" t="s">
        <v>163</v>
      </c>
      <c r="BH18" s="65" t="s">
        <v>164</v>
      </c>
      <c r="BI18" s="67">
        <v>-1.2999999999999999E-2</v>
      </c>
      <c r="BJ18" s="64"/>
    </row>
    <row r="19" spans="1:63" ht="21" x14ac:dyDescent="0.35">
      <c r="B19" s="3" t="s">
        <v>7</v>
      </c>
      <c r="C19" s="49">
        <v>8047.04</v>
      </c>
      <c r="D19" s="50">
        <v>0</v>
      </c>
      <c r="E19" s="51">
        <v>7567.31</v>
      </c>
      <c r="F19" s="51">
        <f t="shared" si="0"/>
        <v>0</v>
      </c>
      <c r="G19" s="52">
        <f t="shared" si="9"/>
        <v>-5.9615709627390934E-2</v>
      </c>
      <c r="H19" s="49">
        <v>6978.28</v>
      </c>
      <c r="I19" s="50">
        <v>0</v>
      </c>
      <c r="J19" s="51">
        <v>6622.75</v>
      </c>
      <c r="K19" s="51">
        <f t="shared" si="1"/>
        <v>0</v>
      </c>
      <c r="L19" s="52">
        <f t="shared" si="10"/>
        <v>-5.0948084628303802E-2</v>
      </c>
      <c r="M19" s="49">
        <v>5854.08</v>
      </c>
      <c r="N19" s="50">
        <v>0</v>
      </c>
      <c r="O19" s="51">
        <v>5403.06</v>
      </c>
      <c r="P19" s="51">
        <f t="shared" si="2"/>
        <v>0</v>
      </c>
      <c r="Q19" s="52">
        <f t="shared" si="11"/>
        <v>-7.7043702853394458E-2</v>
      </c>
      <c r="R19" s="51">
        <v>6052.22</v>
      </c>
      <c r="S19" s="50">
        <v>0</v>
      </c>
      <c r="T19" s="51">
        <v>6052.45</v>
      </c>
      <c r="U19" s="51">
        <f t="shared" si="12"/>
        <v>0</v>
      </c>
      <c r="V19" s="53">
        <f t="shared" si="13"/>
        <v>3.8002584175744758E-5</v>
      </c>
      <c r="W19" s="51">
        <v>11036.92</v>
      </c>
      <c r="X19" s="50">
        <v>0</v>
      </c>
      <c r="Y19" s="51">
        <v>10706.43</v>
      </c>
      <c r="Z19" s="51">
        <f t="shared" si="14"/>
        <v>0</v>
      </c>
      <c r="AA19" s="53">
        <f t="shared" si="15"/>
        <v>-2.9944042359643763E-2</v>
      </c>
      <c r="AB19" s="54"/>
      <c r="AC19" s="51">
        <v>1915.49</v>
      </c>
      <c r="AD19" s="50">
        <v>0</v>
      </c>
      <c r="AE19" s="51">
        <v>1915.53</v>
      </c>
      <c r="AF19" s="51">
        <f t="shared" si="3"/>
        <v>0</v>
      </c>
      <c r="AG19" s="53">
        <f t="shared" si="16"/>
        <v>2.0882385185938546E-5</v>
      </c>
      <c r="AH19" s="51">
        <v>1498.79</v>
      </c>
      <c r="AI19" s="50">
        <v>0</v>
      </c>
      <c r="AJ19" s="51">
        <v>1349.09</v>
      </c>
      <c r="AK19" s="51">
        <f t="shared" si="4"/>
        <v>0</v>
      </c>
      <c r="AL19" s="53">
        <f t="shared" si="17"/>
        <v>-9.9880570326730256E-2</v>
      </c>
      <c r="AM19" s="51">
        <v>1498.79</v>
      </c>
      <c r="AN19" s="50">
        <v>0</v>
      </c>
      <c r="AO19" s="51">
        <v>1411.61</v>
      </c>
      <c r="AP19" s="51">
        <f t="shared" si="5"/>
        <v>0</v>
      </c>
      <c r="AQ19" s="53">
        <f t="shared" si="18"/>
        <v>-5.8166921316528675E-2</v>
      </c>
      <c r="AR19" s="51">
        <v>5690.57</v>
      </c>
      <c r="AS19" s="50">
        <v>0</v>
      </c>
      <c r="AT19" s="51">
        <v>5691.05</v>
      </c>
      <c r="AU19" s="51">
        <f t="shared" si="6"/>
        <v>0</v>
      </c>
      <c r="AV19" s="52">
        <f t="shared" si="19"/>
        <v>8.4350073894290389E-5</v>
      </c>
      <c r="AW19" s="51">
        <v>5690.57</v>
      </c>
      <c r="AX19" s="50">
        <v>0</v>
      </c>
      <c r="AY19" s="51">
        <v>5121.7299999999996</v>
      </c>
      <c r="AZ19" s="51">
        <f t="shared" si="7"/>
        <v>0</v>
      </c>
      <c r="BA19" s="52">
        <f t="shared" si="20"/>
        <v>-9.9961866737427019E-2</v>
      </c>
      <c r="BB19" s="51">
        <v>5690.57</v>
      </c>
      <c r="BC19" s="50">
        <v>0</v>
      </c>
      <c r="BD19" s="51">
        <v>5424.5</v>
      </c>
      <c r="BE19" s="51">
        <f t="shared" si="8"/>
        <v>0</v>
      </c>
      <c r="BF19" s="52">
        <f t="shared" si="21"/>
        <v>-4.6756300335467182E-2</v>
      </c>
      <c r="BG19" s="65" t="s">
        <v>165</v>
      </c>
      <c r="BH19" s="65" t="s">
        <v>166</v>
      </c>
      <c r="BI19" s="67">
        <v>-1.2999999999999999E-2</v>
      </c>
      <c r="BJ19" s="64"/>
    </row>
    <row r="20" spans="1:63" ht="21" x14ac:dyDescent="0.35">
      <c r="B20" s="3" t="s">
        <v>8</v>
      </c>
      <c r="C20" s="49">
        <v>9759.14</v>
      </c>
      <c r="D20" s="50">
        <v>0</v>
      </c>
      <c r="E20" s="51">
        <v>9177.33</v>
      </c>
      <c r="F20" s="51">
        <f t="shared" si="0"/>
        <v>0</v>
      </c>
      <c r="G20" s="52">
        <f t="shared" si="9"/>
        <v>-5.9616933459300636E-2</v>
      </c>
      <c r="H20" s="49">
        <v>8462.99</v>
      </c>
      <c r="I20" s="50">
        <v>0</v>
      </c>
      <c r="J20" s="51">
        <v>8031.8</v>
      </c>
      <c r="K20" s="51">
        <f t="shared" si="1"/>
        <v>0</v>
      </c>
      <c r="L20" s="52">
        <f t="shared" si="10"/>
        <v>-5.0950077927540915E-2</v>
      </c>
      <c r="M20" s="49">
        <v>7099.61</v>
      </c>
      <c r="N20" s="50">
        <v>0</v>
      </c>
      <c r="O20" s="51">
        <v>6552.61</v>
      </c>
      <c r="P20" s="51">
        <f t="shared" si="2"/>
        <v>0</v>
      </c>
      <c r="Q20" s="52">
        <f t="shared" si="11"/>
        <v>-7.7046485652028762E-2</v>
      </c>
      <c r="R20" s="51">
        <v>7339.88</v>
      </c>
      <c r="S20" s="50">
        <v>0</v>
      </c>
      <c r="T20" s="51">
        <v>7340.16</v>
      </c>
      <c r="U20" s="51">
        <f t="shared" si="12"/>
        <v>0</v>
      </c>
      <c r="V20" s="53">
        <f t="shared" si="13"/>
        <v>3.8147762633666815E-5</v>
      </c>
      <c r="W20" s="51">
        <v>13385.13</v>
      </c>
      <c r="X20" s="50">
        <v>0</v>
      </c>
      <c r="Y20" s="51">
        <v>12984.33</v>
      </c>
      <c r="Z20" s="51">
        <f t="shared" si="14"/>
        <v>0</v>
      </c>
      <c r="AA20" s="53">
        <f t="shared" si="15"/>
        <v>-2.9943676303480049E-2</v>
      </c>
      <c r="AB20" s="54"/>
      <c r="AC20" s="51">
        <v>2323.02</v>
      </c>
      <c r="AD20" s="50">
        <v>0</v>
      </c>
      <c r="AE20" s="51">
        <v>2323.0700000000002</v>
      </c>
      <c r="AF20" s="51">
        <f t="shared" si="3"/>
        <v>0</v>
      </c>
      <c r="AG20" s="53">
        <f t="shared" si="16"/>
        <v>2.1523706210002658E-5</v>
      </c>
      <c r="AH20" s="51">
        <v>1817.68</v>
      </c>
      <c r="AI20" s="50">
        <v>2</v>
      </c>
      <c r="AJ20" s="51">
        <v>1636.13</v>
      </c>
      <c r="AK20" s="51">
        <f t="shared" si="4"/>
        <v>3272.26</v>
      </c>
      <c r="AL20" s="53">
        <f t="shared" si="17"/>
        <v>-9.9880066898463959E-2</v>
      </c>
      <c r="AM20" s="51">
        <v>1817.68</v>
      </c>
      <c r="AN20" s="50">
        <v>0</v>
      </c>
      <c r="AO20" s="51">
        <v>1711.95</v>
      </c>
      <c r="AP20" s="51">
        <f t="shared" si="5"/>
        <v>0</v>
      </c>
      <c r="AQ20" s="53">
        <f t="shared" si="18"/>
        <v>-5.8167554244971664E-2</v>
      </c>
      <c r="AR20" s="51">
        <v>6901.29</v>
      </c>
      <c r="AS20" s="50">
        <v>1</v>
      </c>
      <c r="AT20" s="51">
        <v>6901.87</v>
      </c>
      <c r="AU20" s="51">
        <f t="shared" si="6"/>
        <v>6901.87</v>
      </c>
      <c r="AV20" s="52">
        <f t="shared" si="19"/>
        <v>8.404225876601501E-5</v>
      </c>
      <c r="AW20" s="51">
        <v>6901.29</v>
      </c>
      <c r="AX20" s="50">
        <v>0</v>
      </c>
      <c r="AY20" s="51">
        <v>6211.42</v>
      </c>
      <c r="AZ20" s="51">
        <f t="shared" si="7"/>
        <v>0</v>
      </c>
      <c r="BA20" s="52">
        <f t="shared" si="20"/>
        <v>-9.9962470784447532E-2</v>
      </c>
      <c r="BB20" s="51">
        <v>6901.29</v>
      </c>
      <c r="BC20" s="50">
        <v>1</v>
      </c>
      <c r="BD20" s="51">
        <v>6578.61</v>
      </c>
      <c r="BE20" s="51">
        <f t="shared" si="8"/>
        <v>6578.61</v>
      </c>
      <c r="BF20" s="52">
        <f t="shared" si="21"/>
        <v>-4.6756475963189548E-2</v>
      </c>
      <c r="BG20" s="65" t="s">
        <v>167</v>
      </c>
      <c r="BH20" s="65" t="s">
        <v>168</v>
      </c>
      <c r="BI20" s="67">
        <v>-1.2999999999999999E-2</v>
      </c>
      <c r="BJ20" s="64"/>
    </row>
    <row r="21" spans="1:63" ht="21" x14ac:dyDescent="0.35">
      <c r="B21" s="3" t="s">
        <v>9</v>
      </c>
      <c r="C21" s="49">
        <v>13282.11</v>
      </c>
      <c r="D21" s="50">
        <v>0</v>
      </c>
      <c r="E21" s="51">
        <v>12490.26</v>
      </c>
      <c r="F21" s="51">
        <f t="shared" si="0"/>
        <v>0</v>
      </c>
      <c r="G21" s="52">
        <f t="shared" si="9"/>
        <v>-5.9617786631792735E-2</v>
      </c>
      <c r="H21" s="49">
        <v>11518.04</v>
      </c>
      <c r="I21" s="50">
        <v>0</v>
      </c>
      <c r="J21" s="51">
        <v>10931.23</v>
      </c>
      <c r="K21" s="51">
        <f t="shared" si="1"/>
        <v>0</v>
      </c>
      <c r="L21" s="52">
        <f t="shared" si="10"/>
        <v>-5.0947036127674594E-2</v>
      </c>
      <c r="M21" s="49">
        <v>9662.48</v>
      </c>
      <c r="N21" s="50">
        <v>0</v>
      </c>
      <c r="O21" s="51">
        <v>8918.0499999999993</v>
      </c>
      <c r="P21" s="51">
        <f t="shared" si="2"/>
        <v>0</v>
      </c>
      <c r="Q21" s="52">
        <f t="shared" si="11"/>
        <v>-7.7043367748238611E-2</v>
      </c>
      <c r="R21" s="51">
        <v>9989.52</v>
      </c>
      <c r="S21" s="50">
        <v>0</v>
      </c>
      <c r="T21" s="51">
        <v>9989.9</v>
      </c>
      <c r="U21" s="51">
        <f t="shared" si="12"/>
        <v>0</v>
      </c>
      <c r="V21" s="53">
        <f t="shared" si="13"/>
        <v>3.8039865779326831E-5</v>
      </c>
      <c r="W21" s="51">
        <v>18217.05</v>
      </c>
      <c r="X21" s="50">
        <v>0</v>
      </c>
      <c r="Y21" s="51">
        <v>17671.560000000001</v>
      </c>
      <c r="Z21" s="51">
        <f t="shared" si="14"/>
        <v>0</v>
      </c>
      <c r="AA21" s="53">
        <f t="shared" si="15"/>
        <v>-2.9943926157088963E-2</v>
      </c>
      <c r="AB21" s="54"/>
      <c r="AC21" s="51">
        <v>3161.61</v>
      </c>
      <c r="AD21" s="50">
        <v>0</v>
      </c>
      <c r="AE21" s="51">
        <v>3161.68</v>
      </c>
      <c r="AF21" s="51">
        <f t="shared" si="3"/>
        <v>0</v>
      </c>
      <c r="AG21" s="53">
        <f t="shared" si="16"/>
        <v>2.2140618229249398E-5</v>
      </c>
      <c r="AH21" s="51">
        <v>2473.85</v>
      </c>
      <c r="AI21" s="50">
        <v>0</v>
      </c>
      <c r="AJ21" s="51">
        <v>2226.75</v>
      </c>
      <c r="AK21" s="51">
        <f t="shared" si="4"/>
        <v>0</v>
      </c>
      <c r="AL21" s="53">
        <f t="shared" si="17"/>
        <v>-9.9884794955231726E-2</v>
      </c>
      <c r="AM21" s="51">
        <v>2473.85</v>
      </c>
      <c r="AN21" s="50">
        <v>0</v>
      </c>
      <c r="AO21" s="51">
        <v>2329.9499999999998</v>
      </c>
      <c r="AP21" s="51">
        <f t="shared" si="5"/>
        <v>0</v>
      </c>
      <c r="AQ21" s="53">
        <f t="shared" si="18"/>
        <v>-5.8168441902298085E-2</v>
      </c>
      <c r="AR21" s="51">
        <v>9392.61</v>
      </c>
      <c r="AS21" s="50">
        <v>0</v>
      </c>
      <c r="AT21" s="51">
        <v>9393.4</v>
      </c>
      <c r="AU21" s="51">
        <f t="shared" si="6"/>
        <v>0</v>
      </c>
      <c r="AV21" s="52">
        <f t="shared" si="19"/>
        <v>8.4108676927874271E-5</v>
      </c>
      <c r="AW21" s="51">
        <v>9392.61</v>
      </c>
      <c r="AX21" s="50">
        <v>0</v>
      </c>
      <c r="AY21" s="51">
        <v>8453.7000000000007</v>
      </c>
      <c r="AZ21" s="51">
        <f t="shared" si="7"/>
        <v>0</v>
      </c>
      <c r="BA21" s="52">
        <f t="shared" si="20"/>
        <v>-9.9962630195440827E-2</v>
      </c>
      <c r="BB21" s="51">
        <v>9392.61</v>
      </c>
      <c r="BC21" s="50">
        <v>0</v>
      </c>
      <c r="BD21" s="51">
        <v>8953.44</v>
      </c>
      <c r="BE21" s="51">
        <f t="shared" si="8"/>
        <v>0</v>
      </c>
      <c r="BF21" s="52">
        <f t="shared" si="21"/>
        <v>-4.6756971704350558E-2</v>
      </c>
      <c r="BG21" s="65" t="s">
        <v>169</v>
      </c>
      <c r="BH21" s="65" t="s">
        <v>170</v>
      </c>
      <c r="BI21" s="67">
        <v>-1.2999999999999999E-2</v>
      </c>
      <c r="BJ21" s="64"/>
    </row>
    <row r="22" spans="1:63" ht="21" x14ac:dyDescent="0.35">
      <c r="B22" s="3" t="s">
        <v>10</v>
      </c>
      <c r="C22" s="49">
        <v>18346.68</v>
      </c>
      <c r="D22" s="50">
        <v>0</v>
      </c>
      <c r="E22" s="51">
        <v>17252.89</v>
      </c>
      <c r="F22" s="51">
        <f t="shared" si="0"/>
        <v>0</v>
      </c>
      <c r="G22" s="52">
        <f t="shared" si="9"/>
        <v>-5.9617870917245019E-2</v>
      </c>
      <c r="H22" s="49">
        <v>15909.97</v>
      </c>
      <c r="I22" s="50">
        <v>0</v>
      </c>
      <c r="J22" s="51">
        <v>15099.39</v>
      </c>
      <c r="K22" s="51">
        <f t="shared" si="1"/>
        <v>0</v>
      </c>
      <c r="L22" s="52">
        <f t="shared" si="10"/>
        <v>-5.094792762022804E-2</v>
      </c>
      <c r="M22" s="49">
        <v>13346.88</v>
      </c>
      <c r="N22" s="50">
        <v>0</v>
      </c>
      <c r="O22" s="51">
        <v>12318.56</v>
      </c>
      <c r="P22" s="51">
        <f t="shared" si="2"/>
        <v>0</v>
      </c>
      <c r="Q22" s="52">
        <f t="shared" si="11"/>
        <v>-7.7045721546908363E-2</v>
      </c>
      <c r="R22" s="51">
        <v>13798.6</v>
      </c>
      <c r="S22" s="50">
        <v>0</v>
      </c>
      <c r="T22" s="51">
        <v>13799.14</v>
      </c>
      <c r="U22" s="51">
        <f t="shared" si="12"/>
        <v>0</v>
      </c>
      <c r="V22" s="53">
        <f t="shared" si="13"/>
        <v>3.9134404939522582E-5</v>
      </c>
      <c r="W22" s="51">
        <v>25163.35</v>
      </c>
      <c r="X22" s="50">
        <v>0</v>
      </c>
      <c r="Y22" s="51">
        <v>24409.87</v>
      </c>
      <c r="Z22" s="51">
        <f t="shared" si="14"/>
        <v>0</v>
      </c>
      <c r="AA22" s="53">
        <f t="shared" si="15"/>
        <v>-2.9943548851802282E-2</v>
      </c>
      <c r="AB22" s="54"/>
      <c r="AC22" s="51">
        <v>4367.16</v>
      </c>
      <c r="AD22" s="50">
        <v>0</v>
      </c>
      <c r="AE22" s="51">
        <v>4367.25</v>
      </c>
      <c r="AF22" s="51">
        <f t="shared" si="3"/>
        <v>0</v>
      </c>
      <c r="AG22" s="53">
        <f t="shared" si="16"/>
        <v>2.0608358750395794E-5</v>
      </c>
      <c r="AH22" s="51">
        <v>3417.14</v>
      </c>
      <c r="AI22" s="50">
        <v>0</v>
      </c>
      <c r="AJ22" s="51">
        <v>3075.83</v>
      </c>
      <c r="AK22" s="51">
        <f t="shared" si="4"/>
        <v>0</v>
      </c>
      <c r="AL22" s="53">
        <f t="shared" si="17"/>
        <v>-9.9881772476398401E-2</v>
      </c>
      <c r="AM22" s="51">
        <v>3417.14</v>
      </c>
      <c r="AN22" s="50">
        <v>0</v>
      </c>
      <c r="AO22" s="51">
        <v>3218.38</v>
      </c>
      <c r="AP22" s="51">
        <f t="shared" si="5"/>
        <v>0</v>
      </c>
      <c r="AQ22" s="53">
        <f t="shared" si="18"/>
        <v>-5.8165600472909973E-2</v>
      </c>
      <c r="AR22" s="51">
        <v>12974.09</v>
      </c>
      <c r="AS22" s="50">
        <v>0</v>
      </c>
      <c r="AT22" s="51">
        <v>12975.18</v>
      </c>
      <c r="AU22" s="51">
        <f t="shared" si="6"/>
        <v>0</v>
      </c>
      <c r="AV22" s="52">
        <f t="shared" si="19"/>
        <v>8.4013599412458007E-5</v>
      </c>
      <c r="AW22" s="51">
        <v>12974.09</v>
      </c>
      <c r="AX22" s="50">
        <v>0</v>
      </c>
      <c r="AY22" s="51">
        <v>11677.17</v>
      </c>
      <c r="AZ22" s="51">
        <f t="shared" si="7"/>
        <v>0</v>
      </c>
      <c r="BA22" s="52">
        <f t="shared" si="20"/>
        <v>-9.9962309495309487E-2</v>
      </c>
      <c r="BB22" s="51">
        <v>12974.09</v>
      </c>
      <c r="BC22" s="50">
        <v>1</v>
      </c>
      <c r="BD22" s="51">
        <v>12367.46</v>
      </c>
      <c r="BE22" s="51">
        <f t="shared" si="8"/>
        <v>12367.46</v>
      </c>
      <c r="BF22" s="52">
        <f t="shared" si="21"/>
        <v>-4.6757036524334383E-2</v>
      </c>
      <c r="BG22" s="65" t="s">
        <v>171</v>
      </c>
      <c r="BH22" s="65" t="s">
        <v>172</v>
      </c>
      <c r="BI22" s="67">
        <v>-1.2999999999999999E-2</v>
      </c>
      <c r="BJ22" s="64"/>
    </row>
    <row r="23" spans="1:63" ht="21" x14ac:dyDescent="0.35">
      <c r="B23" s="3" t="s">
        <v>11</v>
      </c>
      <c r="C23" s="49">
        <v>22733.4</v>
      </c>
      <c r="D23" s="50">
        <v>0</v>
      </c>
      <c r="E23" s="51">
        <v>21378.1</v>
      </c>
      <c r="F23" s="51">
        <f t="shared" si="0"/>
        <v>0</v>
      </c>
      <c r="G23" s="52">
        <f t="shared" si="9"/>
        <v>-5.9617127222500899E-2</v>
      </c>
      <c r="H23" s="49">
        <v>19714.080000000002</v>
      </c>
      <c r="I23" s="50">
        <v>0</v>
      </c>
      <c r="J23" s="51">
        <v>18709.68</v>
      </c>
      <c r="K23" s="51">
        <f t="shared" si="1"/>
        <v>0</v>
      </c>
      <c r="L23" s="52">
        <f t="shared" si="10"/>
        <v>-5.0948357721993687E-2</v>
      </c>
      <c r="M23" s="49">
        <v>16538.150000000001</v>
      </c>
      <c r="N23" s="50">
        <v>0</v>
      </c>
      <c r="O23" s="51">
        <v>15263.95</v>
      </c>
      <c r="P23" s="51">
        <f t="shared" si="2"/>
        <v>0</v>
      </c>
      <c r="Q23" s="52">
        <f t="shared" si="11"/>
        <v>-7.7046102496349356E-2</v>
      </c>
      <c r="R23" s="51">
        <v>17097.88</v>
      </c>
      <c r="S23" s="50">
        <v>0</v>
      </c>
      <c r="T23" s="51">
        <v>17098.53</v>
      </c>
      <c r="U23" s="51">
        <f t="shared" si="12"/>
        <v>0</v>
      </c>
      <c r="V23" s="53">
        <f t="shared" si="13"/>
        <v>3.8016409051655486E-5</v>
      </c>
      <c r="W23" s="51">
        <v>31179.97</v>
      </c>
      <c r="X23" s="50">
        <v>0</v>
      </c>
      <c r="Y23" s="51">
        <v>30246.33</v>
      </c>
      <c r="Z23" s="51">
        <f t="shared" si="14"/>
        <v>0</v>
      </c>
      <c r="AA23" s="53">
        <f t="shared" si="15"/>
        <v>-2.9943582370348665E-2</v>
      </c>
      <c r="AB23" s="54"/>
      <c r="AC23" s="51">
        <v>5411.36</v>
      </c>
      <c r="AD23" s="50">
        <v>0</v>
      </c>
      <c r="AE23" s="51">
        <v>5411.47</v>
      </c>
      <c r="AF23" s="51">
        <f t="shared" si="3"/>
        <v>0</v>
      </c>
      <c r="AG23" s="53">
        <f t="shared" si="16"/>
        <v>2.0327607108017176E-5</v>
      </c>
      <c r="AH23" s="51">
        <v>4234.18</v>
      </c>
      <c r="AI23" s="50">
        <v>0</v>
      </c>
      <c r="AJ23" s="51">
        <v>3811.26</v>
      </c>
      <c r="AK23" s="51">
        <f t="shared" si="4"/>
        <v>0</v>
      </c>
      <c r="AL23" s="53">
        <f t="shared" si="17"/>
        <v>-9.9882385727578904E-2</v>
      </c>
      <c r="AM23" s="51">
        <v>4234.18</v>
      </c>
      <c r="AN23" s="50">
        <v>0</v>
      </c>
      <c r="AO23" s="51">
        <v>3987.89</v>
      </c>
      <c r="AP23" s="51">
        <f t="shared" si="5"/>
        <v>0</v>
      </c>
      <c r="AQ23" s="53">
        <f t="shared" si="18"/>
        <v>-5.8167106736133234E-2</v>
      </c>
      <c r="AR23" s="51">
        <v>16076.23</v>
      </c>
      <c r="AS23" s="50">
        <v>0</v>
      </c>
      <c r="AT23" s="51">
        <v>16077.57</v>
      </c>
      <c r="AU23" s="51">
        <f t="shared" si="6"/>
        <v>0</v>
      </c>
      <c r="AV23" s="52">
        <f t="shared" si="19"/>
        <v>8.3352875643205593E-5</v>
      </c>
      <c r="AW23" s="51">
        <v>16076.23</v>
      </c>
      <c r="AX23" s="50">
        <v>0</v>
      </c>
      <c r="AY23" s="51">
        <v>14469.2</v>
      </c>
      <c r="AZ23" s="51">
        <f t="shared" si="7"/>
        <v>0</v>
      </c>
      <c r="BA23" s="52">
        <f t="shared" si="20"/>
        <v>-9.9963113242345969E-2</v>
      </c>
      <c r="BB23" s="51">
        <v>16076.23</v>
      </c>
      <c r="BC23" s="50">
        <v>0</v>
      </c>
      <c r="BD23" s="51">
        <v>15324.54</v>
      </c>
      <c r="BE23" s="51">
        <f t="shared" si="8"/>
        <v>0</v>
      </c>
      <c r="BF23" s="52">
        <f t="shared" si="21"/>
        <v>-4.6757853053856491E-2</v>
      </c>
      <c r="BG23" s="65" t="s">
        <v>173</v>
      </c>
      <c r="BH23" s="65" t="s">
        <v>174</v>
      </c>
      <c r="BI23" s="67">
        <v>-1.2999999999999999E-2</v>
      </c>
      <c r="BJ23" s="64"/>
    </row>
    <row r="24" spans="1:63" ht="21" x14ac:dyDescent="0.35">
      <c r="B24" s="3" t="s">
        <v>12</v>
      </c>
      <c r="C24" s="49">
        <v>28087.46</v>
      </c>
      <c r="D24" s="50">
        <v>0</v>
      </c>
      <c r="E24" s="51">
        <v>26412.959999999999</v>
      </c>
      <c r="F24" s="51">
        <f t="shared" si="0"/>
        <v>0</v>
      </c>
      <c r="G24" s="52">
        <f t="shared" si="9"/>
        <v>-5.9617352370061272E-2</v>
      </c>
      <c r="H24" s="49">
        <v>24357.040000000001</v>
      </c>
      <c r="I24" s="50">
        <v>0</v>
      </c>
      <c r="J24" s="51">
        <v>23116.1</v>
      </c>
      <c r="K24" s="51">
        <f t="shared" si="1"/>
        <v>0</v>
      </c>
      <c r="L24" s="52">
        <f t="shared" si="10"/>
        <v>-5.094789843100811E-2</v>
      </c>
      <c r="M24" s="49">
        <v>20433.12</v>
      </c>
      <c r="N24" s="50">
        <v>0</v>
      </c>
      <c r="O24" s="51">
        <v>18858.84</v>
      </c>
      <c r="P24" s="51">
        <f t="shared" si="2"/>
        <v>0</v>
      </c>
      <c r="Q24" s="52">
        <f t="shared" si="11"/>
        <v>-7.7045502595785575E-2</v>
      </c>
      <c r="R24" s="51">
        <v>21124.69</v>
      </c>
      <c r="S24" s="50">
        <v>0</v>
      </c>
      <c r="T24" s="51">
        <v>21125.5</v>
      </c>
      <c r="U24" s="51">
        <f t="shared" si="12"/>
        <v>0</v>
      </c>
      <c r="V24" s="53">
        <f t="shared" si="13"/>
        <v>3.8343757943870571E-5</v>
      </c>
      <c r="W24" s="51">
        <v>38523.32</v>
      </c>
      <c r="X24" s="50">
        <v>0</v>
      </c>
      <c r="Y24" s="51">
        <v>37369.79</v>
      </c>
      <c r="Z24" s="51">
        <f t="shared" si="14"/>
        <v>0</v>
      </c>
      <c r="AA24" s="53">
        <f t="shared" si="15"/>
        <v>-2.9943680866550415E-2</v>
      </c>
      <c r="AB24" s="54"/>
      <c r="AC24" s="51">
        <v>6685.82</v>
      </c>
      <c r="AD24" s="50">
        <v>0</v>
      </c>
      <c r="AE24" s="51">
        <v>6685.96</v>
      </c>
      <c r="AF24" s="51">
        <f t="shared" si="3"/>
        <v>0</v>
      </c>
      <c r="AG24" s="53">
        <f t="shared" si="16"/>
        <v>2.0939839840083962E-5</v>
      </c>
      <c r="AH24" s="51">
        <v>5231.3999999999996</v>
      </c>
      <c r="AI24" s="50">
        <v>0</v>
      </c>
      <c r="AJ24" s="51">
        <v>4708.88</v>
      </c>
      <c r="AK24" s="51">
        <f t="shared" si="4"/>
        <v>0</v>
      </c>
      <c r="AL24" s="53">
        <f t="shared" si="17"/>
        <v>-9.9881484879764448E-2</v>
      </c>
      <c r="AM24" s="51">
        <v>5231.3999999999996</v>
      </c>
      <c r="AN24" s="50">
        <v>0</v>
      </c>
      <c r="AO24" s="51">
        <v>4927.1099999999997</v>
      </c>
      <c r="AP24" s="51">
        <f t="shared" si="5"/>
        <v>0</v>
      </c>
      <c r="AQ24" s="53">
        <f t="shared" si="18"/>
        <v>-5.8166074091065445E-2</v>
      </c>
      <c r="AR24" s="51">
        <v>19862.43</v>
      </c>
      <c r="AS24" s="50">
        <v>0</v>
      </c>
      <c r="AT24" s="51">
        <v>19864.080000000002</v>
      </c>
      <c r="AU24" s="51">
        <f t="shared" si="6"/>
        <v>0</v>
      </c>
      <c r="AV24" s="52">
        <f t="shared" si="19"/>
        <v>8.3071406670853776E-5</v>
      </c>
      <c r="AW24" s="51">
        <v>19862.43</v>
      </c>
      <c r="AX24" s="50">
        <v>0</v>
      </c>
      <c r="AY24" s="51">
        <v>17876.919999999998</v>
      </c>
      <c r="AZ24" s="51">
        <f t="shared" si="7"/>
        <v>0</v>
      </c>
      <c r="BA24" s="52">
        <f t="shared" si="20"/>
        <v>-9.9963096156915454E-2</v>
      </c>
      <c r="BB24" s="51">
        <v>19862.43</v>
      </c>
      <c r="BC24" s="50">
        <v>0</v>
      </c>
      <c r="BD24" s="51">
        <v>18933.7</v>
      </c>
      <c r="BE24" s="51">
        <f t="shared" si="8"/>
        <v>0</v>
      </c>
      <c r="BF24" s="52">
        <f t="shared" si="21"/>
        <v>-4.6758125768095793E-2</v>
      </c>
      <c r="BG24" s="65" t="s">
        <v>175</v>
      </c>
      <c r="BH24" s="65" t="s">
        <v>176</v>
      </c>
      <c r="BI24" s="67">
        <v>-1.2999999999999999E-2</v>
      </c>
      <c r="BJ24" s="64"/>
    </row>
    <row r="25" spans="1:63" ht="21" x14ac:dyDescent="0.35">
      <c r="B25" s="3" t="s">
        <v>13</v>
      </c>
      <c r="C25" s="49">
        <v>30936.400000000001</v>
      </c>
      <c r="D25" s="50">
        <v>0</v>
      </c>
      <c r="E25" s="51">
        <v>29092.05</v>
      </c>
      <c r="F25" s="51">
        <f t="shared" si="0"/>
        <v>0</v>
      </c>
      <c r="G25" s="52">
        <f t="shared" si="9"/>
        <v>-5.9617473267736476E-2</v>
      </c>
      <c r="H25" s="49">
        <v>26827.599999999999</v>
      </c>
      <c r="I25" s="50">
        <v>0</v>
      </c>
      <c r="J25" s="51">
        <v>25460.78</v>
      </c>
      <c r="K25" s="51">
        <f t="shared" si="1"/>
        <v>0</v>
      </c>
      <c r="L25" s="52">
        <f t="shared" si="10"/>
        <v>-5.0948277147415344E-2</v>
      </c>
      <c r="M25" s="49">
        <v>22505.67</v>
      </c>
      <c r="N25" s="50">
        <v>0</v>
      </c>
      <c r="O25" s="51">
        <v>20771.72</v>
      </c>
      <c r="P25" s="51">
        <f t="shared" si="2"/>
        <v>0</v>
      </c>
      <c r="Q25" s="52">
        <f t="shared" si="11"/>
        <v>-7.7045029097111861E-2</v>
      </c>
      <c r="R25" s="51">
        <v>23267.39</v>
      </c>
      <c r="S25" s="50">
        <v>0</v>
      </c>
      <c r="T25" s="51">
        <v>23268.27</v>
      </c>
      <c r="U25" s="51">
        <f t="shared" si="12"/>
        <v>0</v>
      </c>
      <c r="V25" s="53">
        <f t="shared" si="13"/>
        <v>3.78211737543932E-5</v>
      </c>
      <c r="W25" s="51">
        <v>42430.79</v>
      </c>
      <c r="X25" s="50">
        <v>0</v>
      </c>
      <c r="Y25" s="51">
        <v>41160.25</v>
      </c>
      <c r="Z25" s="51">
        <f t="shared" si="14"/>
        <v>0</v>
      </c>
      <c r="AA25" s="53">
        <f t="shared" si="15"/>
        <v>-2.9943821456069997E-2</v>
      </c>
      <c r="AB25" s="54"/>
      <c r="AC25" s="51">
        <v>7363.96</v>
      </c>
      <c r="AD25" s="50">
        <v>0</v>
      </c>
      <c r="AE25" s="51">
        <v>7364.12</v>
      </c>
      <c r="AF25" s="51">
        <f t="shared" si="3"/>
        <v>0</v>
      </c>
      <c r="AG25" s="53">
        <f t="shared" si="16"/>
        <v>2.1727440127294884E-5</v>
      </c>
      <c r="AH25" s="51">
        <v>5762.02</v>
      </c>
      <c r="AI25" s="50">
        <v>0</v>
      </c>
      <c r="AJ25" s="51">
        <v>5186.5</v>
      </c>
      <c r="AK25" s="51">
        <f t="shared" si="4"/>
        <v>0</v>
      </c>
      <c r="AL25" s="53">
        <f t="shared" si="17"/>
        <v>-9.9881638730861866E-2</v>
      </c>
      <c r="AM25" s="51">
        <v>5762.02</v>
      </c>
      <c r="AN25" s="50">
        <v>0</v>
      </c>
      <c r="AO25" s="51">
        <v>5426.87</v>
      </c>
      <c r="AP25" s="51">
        <f t="shared" si="5"/>
        <v>0</v>
      </c>
      <c r="AQ25" s="53">
        <f t="shared" si="18"/>
        <v>-5.8165365618307541E-2</v>
      </c>
      <c r="AR25" s="51">
        <v>21877.09</v>
      </c>
      <c r="AS25" s="50">
        <v>0</v>
      </c>
      <c r="AT25" s="51">
        <v>21878.92</v>
      </c>
      <c r="AU25" s="51">
        <f t="shared" si="6"/>
        <v>0</v>
      </c>
      <c r="AV25" s="52">
        <f t="shared" si="19"/>
        <v>8.364915077829771E-5</v>
      </c>
      <c r="AW25" s="51">
        <v>21877.09</v>
      </c>
      <c r="AX25" s="50">
        <v>0</v>
      </c>
      <c r="AY25" s="51">
        <v>19690.189999999999</v>
      </c>
      <c r="AZ25" s="51">
        <f t="shared" si="7"/>
        <v>0</v>
      </c>
      <c r="BA25" s="52">
        <f t="shared" si="20"/>
        <v>-9.9963020675967518E-2</v>
      </c>
      <c r="BB25" s="51">
        <v>21877.09</v>
      </c>
      <c r="BC25" s="50">
        <v>0</v>
      </c>
      <c r="BD25" s="51">
        <v>20854.169999999998</v>
      </c>
      <c r="BE25" s="51">
        <f t="shared" si="8"/>
        <v>0</v>
      </c>
      <c r="BF25" s="52">
        <f t="shared" si="21"/>
        <v>-4.675758978913569E-2</v>
      </c>
      <c r="BG25" s="65" t="s">
        <v>177</v>
      </c>
      <c r="BH25" s="65" t="s">
        <v>178</v>
      </c>
      <c r="BI25" s="67">
        <v>-1.2999999999999999E-2</v>
      </c>
      <c r="BJ25" s="64"/>
    </row>
    <row r="26" spans="1:63" s="8" customFormat="1" ht="21" x14ac:dyDescent="0.35">
      <c r="B26" s="6"/>
      <c r="C26" s="55"/>
      <c r="D26" s="56">
        <f>SUM(D12:D25)</f>
        <v>0</v>
      </c>
      <c r="E26" s="57"/>
      <c r="F26" s="58">
        <f>SUM(F12:F25)</f>
        <v>0</v>
      </c>
      <c r="G26" s="57"/>
      <c r="H26" s="55"/>
      <c r="I26" s="56">
        <f>SUM(I12:I25)</f>
        <v>0</v>
      </c>
      <c r="J26" s="57"/>
      <c r="K26" s="58">
        <f>SUM(K12:K25)</f>
        <v>0</v>
      </c>
      <c r="L26" s="57"/>
      <c r="M26" s="55"/>
      <c r="N26" s="56">
        <f>SUM(N12:N25)</f>
        <v>0</v>
      </c>
      <c r="O26" s="57"/>
      <c r="P26" s="58">
        <f>SUM(P12:P25)</f>
        <v>0</v>
      </c>
      <c r="Q26" s="57"/>
      <c r="R26" s="55"/>
      <c r="S26" s="56">
        <f>SUM(S12:S25)</f>
        <v>1</v>
      </c>
      <c r="T26" s="57"/>
      <c r="U26" s="58">
        <f>SUM(U12:U25)</f>
        <v>4321.34</v>
      </c>
      <c r="V26" s="57"/>
      <c r="W26" s="55"/>
      <c r="X26" s="56">
        <f>SUM(X12:X25)</f>
        <v>0</v>
      </c>
      <c r="Y26" s="57"/>
      <c r="Z26" s="58">
        <f>SUM(Z12:Z25)</f>
        <v>0</v>
      </c>
      <c r="AA26" s="57"/>
      <c r="AB26" s="59"/>
      <c r="AC26" s="55"/>
      <c r="AD26" s="56">
        <f>SUM(AD12:AD25)</f>
        <v>24</v>
      </c>
      <c r="AE26" s="57"/>
      <c r="AF26" s="58">
        <f>SUM(AF12:AF25)</f>
        <v>21000.370000000003</v>
      </c>
      <c r="AG26" s="57"/>
      <c r="AH26" s="55"/>
      <c r="AI26" s="56">
        <f>SUM(AI12:AI25)</f>
        <v>147</v>
      </c>
      <c r="AJ26" s="57"/>
      <c r="AK26" s="58">
        <f>SUM(AK12:AK25)</f>
        <v>88079.83</v>
      </c>
      <c r="AL26" s="57"/>
      <c r="AM26" s="55"/>
      <c r="AN26" s="56">
        <f>SUM(AN12:AN25)</f>
        <v>3</v>
      </c>
      <c r="AO26" s="57"/>
      <c r="AP26" s="58">
        <f>SUM(AP12:AP25)</f>
        <v>2172.94</v>
      </c>
      <c r="AQ26" s="57"/>
      <c r="AR26" s="55"/>
      <c r="AS26" s="56">
        <f>SUM(AS12:AS25)</f>
        <v>62</v>
      </c>
      <c r="AT26" s="57"/>
      <c r="AU26" s="58">
        <f>SUM(AU12:AU25)</f>
        <v>172523.85</v>
      </c>
      <c r="AV26" s="57"/>
      <c r="AW26" s="55"/>
      <c r="AX26" s="56">
        <f>SUM(AX12:AX25)</f>
        <v>0</v>
      </c>
      <c r="AY26" s="57"/>
      <c r="AZ26" s="58">
        <f>SUM(AZ12:AZ25)</f>
        <v>0</v>
      </c>
      <c r="BA26" s="57"/>
      <c r="BB26" s="55"/>
      <c r="BC26" s="56">
        <f>SUM(BC12:BC25)</f>
        <v>27</v>
      </c>
      <c r="BD26" s="57"/>
      <c r="BE26" s="58">
        <f>SUM(BE12:BE25)</f>
        <v>90184.110000000015</v>
      </c>
      <c r="BF26" s="57"/>
      <c r="BG26" s="6"/>
      <c r="BH26" s="6"/>
      <c r="BI26" s="66"/>
      <c r="BJ26" s="64"/>
    </row>
    <row r="27" spans="1:63" s="22" customFormat="1" ht="21" hidden="1" customHeight="1" x14ac:dyDescent="0.35">
      <c r="C27" s="22">
        <f>SUMPRODUCT(C12:C25,D12:D25)</f>
        <v>0</v>
      </c>
      <c r="F27" s="23"/>
      <c r="H27" s="22">
        <f>SUMPRODUCT(H12:H25,I12:I25)</f>
        <v>0</v>
      </c>
      <c r="K27" s="23"/>
      <c r="M27" s="22">
        <f>SUMPRODUCT(M12:M25,N12:N25)</f>
        <v>0</v>
      </c>
      <c r="P27" s="23"/>
      <c r="R27" s="22">
        <f>SUMPRODUCT(R12:R25,S12:S25)</f>
        <v>4321.17</v>
      </c>
      <c r="U27" s="23"/>
      <c r="W27" s="41">
        <f>SUMPRODUCT(W12:W25,X12:X25)</f>
        <v>0</v>
      </c>
      <c r="X27" s="41"/>
      <c r="Y27" s="41"/>
      <c r="Z27" s="42"/>
      <c r="AA27" s="41"/>
      <c r="AC27" s="22">
        <f>SUMPRODUCT(AC12:AC25,AD12:AD25)</f>
        <v>21000.04</v>
      </c>
      <c r="AF27" s="23"/>
      <c r="AH27" s="22">
        <f>SUMPRODUCT(AH12:AH25,AI12:AI25)</f>
        <v>97853.38</v>
      </c>
      <c r="AK27" s="23"/>
      <c r="AM27" s="22">
        <f>SUMPRODUCT(AM12:AM25,AN12:AN25)</f>
        <v>2307.11</v>
      </c>
      <c r="AP27" s="23"/>
      <c r="AR27" s="22">
        <f>SUMPRODUCT(AR12:AR25,AS12:AS25)</f>
        <v>172509.18000000002</v>
      </c>
      <c r="AU27" s="23"/>
      <c r="AW27" s="22">
        <f>SUMPRODUCT(AW12:AW25,AX12:AX25)</f>
        <v>0</v>
      </c>
      <c r="AZ27" s="23"/>
      <c r="BB27" s="22">
        <f>SUMPRODUCT(BB12:BB25,BC12:BC25)</f>
        <v>94607.71</v>
      </c>
      <c r="BE27" s="23"/>
      <c r="BI27" s="64"/>
      <c r="BJ27" s="64"/>
    </row>
    <row r="28" spans="1:63" s="22" customFormat="1" ht="21" x14ac:dyDescent="0.35">
      <c r="A28" s="68" t="s">
        <v>181</v>
      </c>
      <c r="B28" s="88" t="s">
        <v>146</v>
      </c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5" t="s">
        <v>147</v>
      </c>
      <c r="S28" s="95"/>
      <c r="T28" s="95"/>
      <c r="U28" s="95"/>
      <c r="V28" s="95"/>
      <c r="W28" s="94" t="s">
        <v>148</v>
      </c>
      <c r="X28" s="94"/>
      <c r="Y28" s="94"/>
      <c r="Z28" s="94"/>
      <c r="AA28" s="94"/>
      <c r="AB28" s="44"/>
      <c r="AC28" s="93" t="s">
        <v>147</v>
      </c>
      <c r="AD28" s="93"/>
      <c r="AE28" s="93"/>
      <c r="AF28" s="93"/>
      <c r="AG28" s="93"/>
      <c r="AH28" s="89" t="s">
        <v>150</v>
      </c>
      <c r="AI28" s="89"/>
      <c r="AJ28" s="89"/>
      <c r="AK28" s="89"/>
      <c r="AL28" s="89"/>
      <c r="AM28" s="89"/>
      <c r="AN28" s="89"/>
      <c r="AO28" s="89"/>
      <c r="AP28" s="89"/>
      <c r="AQ28" s="89"/>
      <c r="AR28" s="92" t="s">
        <v>147</v>
      </c>
      <c r="AS28" s="92"/>
      <c r="AT28" s="92"/>
      <c r="AU28" s="92"/>
      <c r="AV28" s="92"/>
      <c r="AW28" s="90" t="s">
        <v>149</v>
      </c>
      <c r="AX28" s="90"/>
      <c r="AY28" s="90"/>
      <c r="AZ28" s="90"/>
      <c r="BA28" s="90"/>
      <c r="BB28" s="90"/>
      <c r="BC28" s="90"/>
      <c r="BD28" s="90"/>
      <c r="BE28" s="90"/>
      <c r="BF28" s="90"/>
      <c r="BG28" s="91" t="s">
        <v>180</v>
      </c>
      <c r="BH28" s="91"/>
      <c r="BI28" s="91"/>
      <c r="BJ28" s="64"/>
      <c r="BK28" s="44"/>
    </row>
    <row r="29" spans="1:63" s="22" customFormat="1" ht="33" customHeight="1" x14ac:dyDescent="0.35">
      <c r="A29" s="6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5"/>
      <c r="S29" s="95"/>
      <c r="T29" s="95"/>
      <c r="U29" s="95"/>
      <c r="V29" s="95"/>
      <c r="W29" s="94"/>
      <c r="X29" s="94"/>
      <c r="Y29" s="94"/>
      <c r="Z29" s="94"/>
      <c r="AA29" s="94"/>
      <c r="AB29" s="44"/>
      <c r="AC29" s="93"/>
      <c r="AD29" s="93"/>
      <c r="AE29" s="93"/>
      <c r="AF29" s="93"/>
      <c r="AG29" s="93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92"/>
      <c r="AS29" s="92"/>
      <c r="AT29" s="92"/>
      <c r="AU29" s="92"/>
      <c r="AV29" s="92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1"/>
      <c r="BH29" s="91"/>
      <c r="BI29" s="91"/>
      <c r="BJ29" s="64"/>
      <c r="BK29" s="44"/>
    </row>
    <row r="30" spans="1:63" s="22" customFormat="1" ht="46.5" customHeight="1" x14ac:dyDescent="0.35">
      <c r="A30" s="6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5"/>
      <c r="S30" s="95"/>
      <c r="T30" s="95"/>
      <c r="U30" s="95"/>
      <c r="V30" s="95"/>
      <c r="W30" s="94"/>
      <c r="X30" s="94"/>
      <c r="Y30" s="94"/>
      <c r="Z30" s="94"/>
      <c r="AA30" s="94"/>
      <c r="AB30" s="44"/>
      <c r="AC30" s="93"/>
      <c r="AD30" s="93"/>
      <c r="AE30" s="93"/>
      <c r="AF30" s="93"/>
      <c r="AG30" s="93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92"/>
      <c r="AS30" s="92"/>
      <c r="AT30" s="92"/>
      <c r="AU30" s="92"/>
      <c r="AV30" s="92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1"/>
      <c r="BH30" s="91"/>
      <c r="BI30" s="91"/>
      <c r="BJ30" s="64"/>
      <c r="BK30" s="44"/>
    </row>
    <row r="31" spans="1:63" s="22" customFormat="1" ht="21" x14ac:dyDescent="0.35">
      <c r="A31" s="6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5"/>
      <c r="S31" s="95"/>
      <c r="T31" s="95"/>
      <c r="U31" s="95"/>
      <c r="V31" s="95"/>
      <c r="W31" s="94"/>
      <c r="X31" s="94"/>
      <c r="Y31" s="94"/>
      <c r="Z31" s="94"/>
      <c r="AA31" s="94"/>
      <c r="AB31" s="44"/>
      <c r="AC31" s="93"/>
      <c r="AD31" s="93"/>
      <c r="AE31" s="93"/>
      <c r="AF31" s="93"/>
      <c r="AG31" s="93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92"/>
      <c r="AS31" s="92"/>
      <c r="AT31" s="92"/>
      <c r="AU31" s="92"/>
      <c r="AV31" s="92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1"/>
      <c r="BH31" s="91"/>
      <c r="BI31" s="91"/>
      <c r="BJ31" s="64"/>
      <c r="BK31" s="44"/>
    </row>
    <row r="32" spans="1:63" s="22" customFormat="1" ht="21" x14ac:dyDescent="0.35">
      <c r="W32"/>
      <c r="X32"/>
      <c r="Y32"/>
      <c r="Z32"/>
      <c r="AA32"/>
      <c r="AC32" s="93"/>
      <c r="AD32" s="93"/>
      <c r="AE32" s="93"/>
      <c r="AF32" s="93"/>
      <c r="AG32" s="93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92"/>
      <c r="AS32" s="92"/>
      <c r="AT32" s="92"/>
      <c r="AU32" s="92"/>
      <c r="AV32" s="92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1"/>
      <c r="BH32" s="91"/>
      <c r="BI32" s="91"/>
      <c r="BJ32" s="64"/>
    </row>
    <row r="33" spans="23:27" s="22" customFormat="1" x14ac:dyDescent="0.25">
      <c r="W33"/>
      <c r="X33"/>
      <c r="Y33"/>
      <c r="Z33"/>
      <c r="AA33"/>
    </row>
    <row r="34" spans="23:27" x14ac:dyDescent="0.25">
      <c r="W34"/>
      <c r="X34"/>
      <c r="Y34"/>
      <c r="Z34"/>
      <c r="AA34"/>
    </row>
    <row r="35" spans="23:27" x14ac:dyDescent="0.25">
      <c r="W35"/>
      <c r="X35"/>
      <c r="Y35"/>
      <c r="Z35"/>
      <c r="AA35"/>
    </row>
    <row r="36" spans="23:27" x14ac:dyDescent="0.25">
      <c r="W36"/>
      <c r="X36"/>
      <c r="Y36"/>
      <c r="Z36"/>
      <c r="AA36"/>
    </row>
    <row r="37" spans="23:27" x14ac:dyDescent="0.25">
      <c r="W37"/>
      <c r="X37"/>
      <c r="Y37"/>
      <c r="Z37"/>
      <c r="AA37"/>
    </row>
    <row r="38" spans="23:27" x14ac:dyDescent="0.25">
      <c r="W38"/>
      <c r="X38"/>
      <c r="Y38"/>
      <c r="Z38"/>
      <c r="AA38"/>
    </row>
    <row r="39" spans="23:27" x14ac:dyDescent="0.25">
      <c r="W39"/>
      <c r="X39"/>
      <c r="Y39"/>
      <c r="Z39"/>
      <c r="AA39"/>
    </row>
    <row r="40" spans="23:27" x14ac:dyDescent="0.25">
      <c r="W40"/>
      <c r="X40"/>
      <c r="Y40"/>
      <c r="Z40"/>
      <c r="AA40"/>
    </row>
    <row r="41" spans="23:27" x14ac:dyDescent="0.25">
      <c r="W41"/>
      <c r="X41"/>
      <c r="Y41"/>
      <c r="Z41"/>
      <c r="AA41"/>
    </row>
    <row r="42" spans="23:27" x14ac:dyDescent="0.25">
      <c r="W42"/>
      <c r="X42"/>
      <c r="Y42"/>
      <c r="Z42"/>
      <c r="AA42"/>
    </row>
    <row r="43" spans="23:27" x14ac:dyDescent="0.25">
      <c r="W43"/>
      <c r="X43"/>
      <c r="Y43"/>
      <c r="Z43"/>
      <c r="AA43"/>
    </row>
    <row r="44" spans="23:27" x14ac:dyDescent="0.25">
      <c r="W44"/>
      <c r="X44"/>
      <c r="Y44"/>
      <c r="Z44"/>
      <c r="AA44"/>
    </row>
    <row r="45" spans="23:27" x14ac:dyDescent="0.25">
      <c r="W45"/>
      <c r="X45"/>
      <c r="Y45"/>
      <c r="Z45"/>
      <c r="AA45"/>
    </row>
    <row r="46" spans="23:27" x14ac:dyDescent="0.25">
      <c r="W46"/>
      <c r="X46"/>
      <c r="Y46"/>
      <c r="Z46"/>
      <c r="AA46"/>
    </row>
    <row r="47" spans="23:27" x14ac:dyDescent="0.25">
      <c r="W47"/>
      <c r="X47"/>
      <c r="Y47"/>
      <c r="Z47"/>
      <c r="AA47"/>
    </row>
    <row r="48" spans="23:27" x14ac:dyDescent="0.25">
      <c r="W48"/>
      <c r="X48"/>
      <c r="Y48"/>
      <c r="Z48"/>
      <c r="AA48"/>
    </row>
    <row r="49" spans="23:27" x14ac:dyDescent="0.25">
      <c r="W49"/>
      <c r="X49"/>
      <c r="Y49"/>
      <c r="Z49"/>
      <c r="AA49"/>
    </row>
    <row r="50" spans="23:27" x14ac:dyDescent="0.25">
      <c r="W50"/>
      <c r="X50"/>
      <c r="Y50"/>
      <c r="Z50"/>
      <c r="AA50"/>
    </row>
    <row r="51" spans="23:27" x14ac:dyDescent="0.25">
      <c r="W51"/>
      <c r="X51"/>
      <c r="Y51"/>
      <c r="Z51"/>
      <c r="AA51"/>
    </row>
    <row r="52" spans="23:27" x14ac:dyDescent="0.25">
      <c r="W52"/>
      <c r="X52"/>
      <c r="Y52"/>
      <c r="Z52"/>
      <c r="AA52"/>
    </row>
    <row r="53" spans="23:27" x14ac:dyDescent="0.25">
      <c r="W53"/>
      <c r="X53"/>
      <c r="Y53"/>
      <c r="Z53"/>
      <c r="AA53"/>
    </row>
    <row r="54" spans="23:27" x14ac:dyDescent="0.25">
      <c r="W54"/>
      <c r="X54"/>
      <c r="Y54"/>
      <c r="Z54"/>
      <c r="AA54"/>
    </row>
    <row r="55" spans="23:27" x14ac:dyDescent="0.25">
      <c r="W55"/>
      <c r="X55"/>
      <c r="Y55"/>
      <c r="Z55"/>
      <c r="AA55"/>
    </row>
    <row r="56" spans="23:27" x14ac:dyDescent="0.25">
      <c r="W56"/>
      <c r="X56"/>
      <c r="Y56"/>
      <c r="Z56"/>
      <c r="AA56"/>
    </row>
    <row r="57" spans="23:27" x14ac:dyDescent="0.25">
      <c r="W57"/>
      <c r="X57"/>
      <c r="Y57"/>
      <c r="Z57"/>
      <c r="AA57"/>
    </row>
    <row r="58" spans="23:27" x14ac:dyDescent="0.25">
      <c r="W58"/>
      <c r="X58"/>
      <c r="Y58"/>
      <c r="Z58"/>
      <c r="AA58"/>
    </row>
    <row r="59" spans="23:27" x14ac:dyDescent="0.25">
      <c r="W59"/>
      <c r="X59"/>
      <c r="Y59"/>
      <c r="Z59"/>
      <c r="AA59"/>
    </row>
    <row r="60" spans="23:27" x14ac:dyDescent="0.25">
      <c r="W60" s="60"/>
      <c r="X60" s="60"/>
      <c r="Y60" s="60"/>
      <c r="Z60" s="60"/>
      <c r="AA60" s="60"/>
    </row>
  </sheetData>
  <mergeCells count="38">
    <mergeCell ref="BG10:BI10"/>
    <mergeCell ref="R9:AA9"/>
    <mergeCell ref="R10:V10"/>
    <mergeCell ref="W10:AA10"/>
    <mergeCell ref="AC10:AG10"/>
    <mergeCell ref="AH10:AL10"/>
    <mergeCell ref="AM10:AQ10"/>
    <mergeCell ref="AR10:AV10"/>
    <mergeCell ref="AW10:BA10"/>
    <mergeCell ref="BB10:BF10"/>
    <mergeCell ref="B9:B11"/>
    <mergeCell ref="C9:Q9"/>
    <mergeCell ref="C10:G10"/>
    <mergeCell ref="H10:L10"/>
    <mergeCell ref="M10:Q10"/>
    <mergeCell ref="C8:Q8"/>
    <mergeCell ref="R8:AA8"/>
    <mergeCell ref="AC8:AQ8"/>
    <mergeCell ref="AR8:BF8"/>
    <mergeCell ref="AC9:AQ9"/>
    <mergeCell ref="AR9:BF9"/>
    <mergeCell ref="C7:Q7"/>
    <mergeCell ref="R6:AA6"/>
    <mergeCell ref="AC6:AQ6"/>
    <mergeCell ref="AR6:BF6"/>
    <mergeCell ref="C6:Q6"/>
    <mergeCell ref="R7:AA7"/>
    <mergeCell ref="AC7:AQ7"/>
    <mergeCell ref="AR7:BF7"/>
    <mergeCell ref="BG28:BI32"/>
    <mergeCell ref="A28:A31"/>
    <mergeCell ref="AW28:BF32"/>
    <mergeCell ref="AR28:AV32"/>
    <mergeCell ref="AH28:AQ32"/>
    <mergeCell ref="AC28:AG32"/>
    <mergeCell ref="W28:AA31"/>
    <mergeCell ref="R28:V31"/>
    <mergeCell ref="B28:Q31"/>
  </mergeCells>
  <pageMargins left="0.7" right="0.7" top="0.75" bottom="0.75" header="0.3" footer="0.3"/>
  <pageSetup paperSize="9" scale="10" orientation="portrait" r:id="rId1"/>
  <colBreaks count="1" manualBreakCount="1">
    <brk id="3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E22E-1C40-4089-AD70-AF0CC9CD7AFC}">
  <sheetPr>
    <pageSetUpPr fitToPage="1"/>
  </sheetPr>
  <dimension ref="A6:SP60"/>
  <sheetViews>
    <sheetView topLeftCell="A4" zoomScale="70" zoomScaleNormal="70" workbookViewId="0">
      <pane xSplit="1" ySplit="8" topLeftCell="B12" activePane="bottomRight" state="frozen"/>
      <selection activeCell="A4" sqref="A4"/>
      <selection pane="topRight" activeCell="B4" sqref="B4"/>
      <selection pane="bottomLeft" activeCell="A11" sqref="A11"/>
      <selection pane="bottomRight" activeCell="H31" sqref="H31"/>
    </sheetView>
  </sheetViews>
  <sheetFormatPr defaultRowHeight="15" x14ac:dyDescent="0.25"/>
  <cols>
    <col min="1" max="1" width="10.7109375" bestFit="1" customWidth="1"/>
    <col min="2" max="2" width="11.5703125" bestFit="1" customWidth="1"/>
    <col min="3" max="3" width="13.7109375" customWidth="1"/>
    <col min="4" max="4" width="11.7109375" customWidth="1"/>
    <col min="5" max="5" width="11.85546875" bestFit="1" customWidth="1"/>
    <col min="6" max="6" width="11.5703125" bestFit="1" customWidth="1"/>
    <col min="8" max="8" width="29.140625" customWidth="1"/>
    <col min="9" max="10" width="10.7109375" customWidth="1"/>
    <col min="11" max="11" width="10.85546875" customWidth="1"/>
    <col min="12" max="12" width="11.140625" customWidth="1"/>
    <col min="13" max="13" width="11.5703125" bestFit="1" customWidth="1"/>
    <col min="15" max="15" width="10.7109375" bestFit="1" customWidth="1"/>
    <col min="16" max="16" width="11.5703125" bestFit="1" customWidth="1"/>
    <col min="17" max="17" width="12.7109375" bestFit="1" customWidth="1"/>
    <col min="18" max="18" width="11.28515625" bestFit="1" customWidth="1"/>
    <col min="19" max="19" width="11.85546875" bestFit="1" customWidth="1"/>
    <col min="20" max="20" width="11.5703125" bestFit="1" customWidth="1"/>
    <col min="22" max="22" width="10.7109375" bestFit="1" customWidth="1"/>
    <col min="23" max="23" width="11.5703125" bestFit="1" customWidth="1"/>
    <col min="24" max="24" width="12.7109375" bestFit="1" customWidth="1"/>
    <col min="25" max="25" width="11.28515625" bestFit="1" customWidth="1"/>
    <col min="26" max="26" width="11.85546875" bestFit="1" customWidth="1"/>
    <col min="27" max="28" width="11.5703125" bestFit="1" customWidth="1"/>
    <col min="29" max="29" width="12.7109375" bestFit="1" customWidth="1"/>
    <col min="30" max="30" width="11.28515625" customWidth="1"/>
    <col min="31" max="31" width="11.85546875" bestFit="1" customWidth="1"/>
    <col min="32" max="33" width="11.5703125" bestFit="1" customWidth="1"/>
    <col min="34" max="34" width="12.7109375" bestFit="1" customWidth="1"/>
    <col min="35" max="35" width="11.28515625" bestFit="1" customWidth="1"/>
    <col min="36" max="36" width="11.85546875" bestFit="1" customWidth="1"/>
    <col min="37" max="38" width="11.5703125" bestFit="1" customWidth="1"/>
    <col min="39" max="39" width="12.7109375" bestFit="1" customWidth="1"/>
    <col min="40" max="40" width="11.28515625" customWidth="1"/>
    <col min="41" max="41" width="11.85546875" bestFit="1" customWidth="1"/>
    <col min="42" max="43" width="11.5703125" bestFit="1" customWidth="1"/>
    <col min="44" max="44" width="12.7109375" bestFit="1" customWidth="1"/>
    <col min="45" max="45" width="11.28515625" customWidth="1"/>
    <col min="46" max="46" width="11.85546875" bestFit="1" customWidth="1"/>
    <col min="47" max="48" width="11.5703125" bestFit="1" customWidth="1"/>
    <col min="49" max="49" width="12.7109375" bestFit="1" customWidth="1"/>
    <col min="50" max="50" width="11.28515625" customWidth="1"/>
    <col min="51" max="51" width="11.85546875" bestFit="1" customWidth="1"/>
    <col min="52" max="52" width="11.5703125" bestFit="1" customWidth="1"/>
    <col min="54" max="54" width="10.7109375" bestFit="1" customWidth="1"/>
    <col min="55" max="55" width="11.5703125" bestFit="1" customWidth="1"/>
    <col min="56" max="56" width="12.7109375" bestFit="1" customWidth="1"/>
    <col min="57" max="57" width="10.85546875" customWidth="1"/>
    <col min="58" max="58" width="11.85546875" bestFit="1" customWidth="1"/>
    <col min="59" max="60" width="11.5703125" bestFit="1" customWidth="1"/>
    <col min="61" max="61" width="12.7109375" bestFit="1" customWidth="1"/>
    <col min="62" max="62" width="10.85546875" customWidth="1"/>
    <col min="63" max="63" width="11.85546875" bestFit="1" customWidth="1"/>
    <col min="64" max="65" width="11.5703125" bestFit="1" customWidth="1"/>
    <col min="66" max="66" width="12.7109375" bestFit="1" customWidth="1"/>
    <col min="67" max="67" width="10.85546875" customWidth="1"/>
    <col min="68" max="68" width="11.85546875" bestFit="1" customWidth="1"/>
    <col min="69" max="70" width="11.5703125" bestFit="1" customWidth="1"/>
    <col min="71" max="71" width="12.7109375" bestFit="1" customWidth="1"/>
    <col min="72" max="72" width="10.85546875" customWidth="1"/>
    <col min="73" max="73" width="11.85546875" bestFit="1" customWidth="1"/>
    <col min="74" max="75" width="11.5703125" bestFit="1" customWidth="1"/>
    <col min="76" max="76" width="12.7109375" bestFit="1" customWidth="1"/>
    <col min="77" max="77" width="10.85546875" customWidth="1"/>
    <col min="78" max="78" width="11.85546875" bestFit="1" customWidth="1"/>
    <col min="79" max="80" width="11.5703125" bestFit="1" customWidth="1"/>
    <col min="81" max="81" width="12.7109375" bestFit="1" customWidth="1"/>
    <col min="82" max="82" width="10.85546875" customWidth="1"/>
    <col min="83" max="83" width="11.85546875" bestFit="1" customWidth="1"/>
    <col min="84" max="84" width="11.5703125" bestFit="1" customWidth="1"/>
    <col min="86" max="86" width="10.7109375" bestFit="1" customWidth="1"/>
    <col min="87" max="87" width="11.5703125" bestFit="1" customWidth="1"/>
    <col min="88" max="88" width="12.7109375" bestFit="1" customWidth="1"/>
    <col min="89" max="89" width="11.7109375" customWidth="1"/>
    <col min="90" max="90" width="14.140625" bestFit="1" customWidth="1"/>
    <col min="91" max="92" width="11.5703125" bestFit="1" customWidth="1"/>
    <col min="93" max="93" width="12.7109375" bestFit="1" customWidth="1"/>
    <col min="94" max="94" width="11.28515625" customWidth="1"/>
    <col min="95" max="95" width="11.85546875" bestFit="1" customWidth="1"/>
    <col min="96" max="97" width="11.5703125" bestFit="1" customWidth="1"/>
    <col min="98" max="98" width="12.7109375" bestFit="1" customWidth="1"/>
    <col min="99" max="99" width="11.7109375" customWidth="1"/>
    <col min="100" max="100" width="11.85546875" bestFit="1" customWidth="1"/>
    <col min="101" max="102" width="11.5703125" bestFit="1" customWidth="1"/>
    <col min="103" max="103" width="12.7109375" bestFit="1" customWidth="1"/>
    <col min="104" max="104" width="11.7109375" customWidth="1"/>
    <col min="105" max="105" width="11.85546875" bestFit="1" customWidth="1"/>
    <col min="106" max="107" width="11.5703125" bestFit="1" customWidth="1"/>
    <col min="108" max="108" width="12.7109375" bestFit="1" customWidth="1"/>
    <col min="109" max="109" width="11.7109375" customWidth="1"/>
    <col min="110" max="110" width="11.85546875" bestFit="1" customWidth="1"/>
    <col min="111" max="112" width="11.5703125" bestFit="1" customWidth="1"/>
    <col min="113" max="113" width="12.7109375" bestFit="1" customWidth="1"/>
    <col min="114" max="114" width="11.7109375" customWidth="1"/>
    <col min="115" max="115" width="11.85546875" bestFit="1" customWidth="1"/>
    <col min="116" max="116" width="11.5703125" bestFit="1" customWidth="1"/>
    <col min="118" max="118" width="10.7109375" bestFit="1" customWidth="1"/>
    <col min="119" max="119" width="11.5703125" bestFit="1" customWidth="1"/>
    <col min="120" max="120" width="12.7109375" bestFit="1" customWidth="1"/>
    <col min="121" max="121" width="11.7109375" customWidth="1"/>
    <col min="122" max="122" width="12.28515625" customWidth="1"/>
    <col min="123" max="123" width="11.5703125" bestFit="1" customWidth="1"/>
    <col min="125" max="125" width="10.7109375" bestFit="1" customWidth="1"/>
    <col min="126" max="126" width="11.5703125" bestFit="1" customWidth="1"/>
    <col min="127" max="127" width="12.7109375" bestFit="1" customWidth="1"/>
    <col min="128" max="128" width="11.7109375" customWidth="1"/>
    <col min="129" max="129" width="11.85546875" bestFit="1" customWidth="1"/>
    <col min="130" max="130" width="11.5703125" bestFit="1" customWidth="1"/>
    <col min="132" max="132" width="10.7109375" bestFit="1" customWidth="1"/>
    <col min="133" max="133" width="11.5703125" bestFit="1" customWidth="1"/>
    <col min="134" max="134" width="12.7109375" bestFit="1" customWidth="1"/>
    <col min="135" max="135" width="11.7109375" customWidth="1"/>
    <col min="136" max="136" width="12.28515625" customWidth="1"/>
    <col min="137" max="137" width="11.5703125" bestFit="1" customWidth="1"/>
    <col min="139" max="139" width="10.7109375" bestFit="1" customWidth="1"/>
    <col min="140" max="140" width="11.5703125" bestFit="1" customWidth="1"/>
    <col min="141" max="141" width="12.7109375" bestFit="1" customWidth="1"/>
    <col min="142" max="142" width="11.7109375" customWidth="1"/>
    <col min="143" max="143" width="11.85546875" bestFit="1" customWidth="1"/>
    <col min="144" max="145" width="11.5703125" bestFit="1" customWidth="1"/>
    <col min="146" max="146" width="12.7109375" bestFit="1" customWidth="1"/>
    <col min="147" max="147" width="11.28515625" customWidth="1"/>
    <col min="148" max="148" width="11.85546875" bestFit="1" customWidth="1"/>
    <col min="149" max="150" width="11.5703125" bestFit="1" customWidth="1"/>
    <col min="151" max="151" width="12.7109375" bestFit="1" customWidth="1"/>
    <col min="152" max="152" width="11.7109375" customWidth="1"/>
    <col min="153" max="153" width="11.85546875" bestFit="1" customWidth="1"/>
    <col min="154" max="155" width="11.5703125" bestFit="1" customWidth="1"/>
    <col min="156" max="156" width="12.7109375" bestFit="1" customWidth="1"/>
    <col min="157" max="157" width="11.28515625" customWidth="1"/>
    <col min="158" max="158" width="11.85546875" bestFit="1" customWidth="1"/>
    <col min="159" max="160" width="11.5703125" bestFit="1" customWidth="1"/>
    <col min="161" max="161" width="12.7109375" bestFit="1" customWidth="1"/>
    <col min="162" max="162" width="11.7109375" customWidth="1"/>
    <col min="163" max="163" width="11.85546875" bestFit="1" customWidth="1"/>
    <col min="164" max="165" width="11.5703125" bestFit="1" customWidth="1"/>
    <col min="166" max="166" width="12.7109375" bestFit="1" customWidth="1"/>
    <col min="167" max="167" width="11.7109375" customWidth="1"/>
    <col min="168" max="168" width="11.85546875" bestFit="1" customWidth="1"/>
    <col min="169" max="170" width="11.5703125" bestFit="1" customWidth="1"/>
    <col min="171" max="171" width="12.7109375" bestFit="1" customWidth="1"/>
    <col min="172" max="172" width="11.28515625" customWidth="1"/>
    <col min="173" max="173" width="11.85546875" bestFit="1" customWidth="1"/>
    <col min="174" max="175" width="11.5703125" bestFit="1" customWidth="1"/>
    <col min="176" max="176" width="12.7109375" bestFit="1" customWidth="1"/>
    <col min="177" max="177" width="11.7109375" customWidth="1"/>
    <col min="178" max="178" width="11.85546875" bestFit="1" customWidth="1"/>
    <col min="179" max="180" width="11.5703125" bestFit="1" customWidth="1"/>
    <col min="181" max="181" width="12.7109375" bestFit="1" customWidth="1"/>
    <col min="182" max="182" width="11.28515625" customWidth="1"/>
    <col min="183" max="183" width="11.85546875" bestFit="1" customWidth="1"/>
    <col min="184" max="185" width="11.5703125" bestFit="1" customWidth="1"/>
    <col min="186" max="186" width="12.7109375" bestFit="1" customWidth="1"/>
    <col min="187" max="187" width="11.28515625" customWidth="1"/>
    <col min="188" max="188" width="11.85546875" bestFit="1" customWidth="1"/>
    <col min="189" max="190" width="11.5703125" bestFit="1" customWidth="1"/>
    <col min="191" max="191" width="12.7109375" bestFit="1" customWidth="1"/>
    <col min="192" max="192" width="11.7109375" customWidth="1"/>
    <col min="193" max="193" width="11.85546875" bestFit="1" customWidth="1"/>
    <col min="194" max="195" width="11.5703125" bestFit="1" customWidth="1"/>
    <col min="196" max="196" width="12.7109375" bestFit="1" customWidth="1"/>
    <col min="197" max="197" width="11.28515625" customWidth="1"/>
    <col min="198" max="198" width="11.85546875" bestFit="1" customWidth="1"/>
    <col min="199" max="200" width="11.5703125" bestFit="1" customWidth="1"/>
    <col min="201" max="201" width="12.7109375" bestFit="1" customWidth="1"/>
    <col min="202" max="202" width="11.28515625" customWidth="1"/>
    <col min="203" max="203" width="11.85546875" bestFit="1" customWidth="1"/>
    <col min="204" max="205" width="11.5703125" bestFit="1" customWidth="1"/>
    <col min="206" max="206" width="12.7109375" bestFit="1" customWidth="1"/>
    <col min="207" max="207" width="11.28515625" customWidth="1"/>
    <col min="208" max="208" width="11.85546875" bestFit="1" customWidth="1"/>
    <col min="209" max="210" width="11.5703125" bestFit="1" customWidth="1"/>
    <col min="211" max="211" width="12.7109375" bestFit="1" customWidth="1"/>
    <col min="212" max="212" width="11.28515625" customWidth="1"/>
    <col min="213" max="213" width="11.85546875" bestFit="1" customWidth="1"/>
    <col min="214" max="215" width="11.5703125" bestFit="1" customWidth="1"/>
    <col min="216" max="216" width="12.7109375" bestFit="1" customWidth="1"/>
    <col min="217" max="217" width="11.28515625" customWidth="1"/>
    <col min="218" max="218" width="11.85546875" bestFit="1" customWidth="1"/>
    <col min="219" max="220" width="11.5703125" bestFit="1" customWidth="1"/>
    <col min="221" max="221" width="12.7109375" bestFit="1" customWidth="1"/>
    <col min="222" max="222" width="11.28515625" customWidth="1"/>
    <col min="223" max="223" width="11.85546875" bestFit="1" customWidth="1"/>
    <col min="224" max="225" width="11.5703125" bestFit="1" customWidth="1"/>
    <col min="226" max="226" width="12.7109375" bestFit="1" customWidth="1"/>
    <col min="227" max="227" width="11.7109375" customWidth="1"/>
    <col min="228" max="228" width="11.85546875" bestFit="1" customWidth="1"/>
    <col min="229" max="230" width="11.5703125" bestFit="1" customWidth="1"/>
    <col min="231" max="231" width="12.7109375" bestFit="1" customWidth="1"/>
    <col min="232" max="232" width="11.28515625" customWidth="1"/>
    <col min="233" max="233" width="11.85546875" bestFit="1" customWidth="1"/>
    <col min="234" max="234" width="11.5703125" bestFit="1" customWidth="1"/>
    <col min="236" max="236" width="10.7109375" bestFit="1" customWidth="1"/>
    <col min="237" max="237" width="11.5703125" bestFit="1" customWidth="1"/>
    <col min="238" max="238" width="12.7109375" bestFit="1" customWidth="1"/>
    <col min="239" max="239" width="11.28515625" customWidth="1"/>
    <col min="240" max="240" width="11.85546875" bestFit="1" customWidth="1"/>
    <col min="241" max="242" width="11.5703125" bestFit="1" customWidth="1"/>
    <col min="243" max="243" width="12.7109375" bestFit="1" customWidth="1"/>
    <col min="244" max="244" width="10.85546875" customWidth="1"/>
    <col min="245" max="245" width="11.85546875" bestFit="1" customWidth="1"/>
    <col min="246" max="247" width="11.5703125" bestFit="1" customWidth="1"/>
    <col min="248" max="248" width="12.7109375" bestFit="1" customWidth="1"/>
    <col min="249" max="249" width="10.85546875" customWidth="1"/>
    <col min="250" max="250" width="11.85546875" bestFit="1" customWidth="1"/>
    <col min="251" max="252" width="11.5703125" bestFit="1" customWidth="1"/>
    <col min="253" max="253" width="12.7109375" bestFit="1" customWidth="1"/>
    <col min="254" max="254" width="10.85546875" customWidth="1"/>
    <col min="255" max="255" width="11.85546875" bestFit="1" customWidth="1"/>
    <col min="256" max="257" width="11.5703125" bestFit="1" customWidth="1"/>
    <col min="258" max="258" width="12.7109375" bestFit="1" customWidth="1"/>
    <col min="259" max="259" width="10.85546875" customWidth="1"/>
    <col min="260" max="260" width="11.85546875" bestFit="1" customWidth="1"/>
    <col min="261" max="262" width="11.5703125" bestFit="1" customWidth="1"/>
    <col min="263" max="263" width="12.7109375" bestFit="1" customWidth="1"/>
    <col min="264" max="264" width="10.85546875" customWidth="1"/>
    <col min="265" max="265" width="11.85546875" bestFit="1" customWidth="1"/>
    <col min="266" max="267" width="11.5703125" bestFit="1" customWidth="1"/>
    <col min="268" max="268" width="12.7109375" bestFit="1" customWidth="1"/>
    <col min="269" max="269" width="10.85546875" customWidth="1"/>
    <col min="270" max="270" width="11.85546875" bestFit="1" customWidth="1"/>
    <col min="271" max="272" width="11.5703125" bestFit="1" customWidth="1"/>
    <col min="273" max="273" width="12.7109375" bestFit="1" customWidth="1"/>
    <col min="274" max="274" width="10.85546875" customWidth="1"/>
    <col min="275" max="275" width="11.85546875" bestFit="1" customWidth="1"/>
    <col min="276" max="277" width="11.5703125" bestFit="1" customWidth="1"/>
    <col min="278" max="278" width="12.7109375" bestFit="1" customWidth="1"/>
    <col min="279" max="279" width="10.85546875" customWidth="1"/>
    <col min="280" max="280" width="11.85546875" bestFit="1" customWidth="1"/>
    <col min="281" max="282" width="11.5703125" bestFit="1" customWidth="1"/>
    <col min="283" max="283" width="12.7109375" bestFit="1" customWidth="1"/>
    <col min="284" max="284" width="10.85546875" customWidth="1"/>
    <col min="285" max="285" width="11.85546875" bestFit="1" customWidth="1"/>
    <col min="286" max="287" width="11.5703125" bestFit="1" customWidth="1"/>
    <col min="288" max="288" width="12.7109375" bestFit="1" customWidth="1"/>
    <col min="289" max="289" width="10.85546875" customWidth="1"/>
    <col min="290" max="290" width="11.85546875" bestFit="1" customWidth="1"/>
    <col min="291" max="292" width="11.5703125" bestFit="1" customWidth="1"/>
    <col min="293" max="293" width="12.7109375" bestFit="1" customWidth="1"/>
    <col min="294" max="294" width="10.85546875" customWidth="1"/>
    <col min="295" max="295" width="11.85546875" bestFit="1" customWidth="1"/>
    <col min="296" max="297" width="11.5703125" bestFit="1" customWidth="1"/>
    <col min="298" max="298" width="12.7109375" bestFit="1" customWidth="1"/>
    <col min="299" max="299" width="11.28515625" bestFit="1" customWidth="1"/>
    <col min="300" max="300" width="11.85546875" bestFit="1" customWidth="1"/>
    <col min="301" max="302" width="11.5703125" bestFit="1" customWidth="1"/>
    <col min="303" max="303" width="12.7109375" bestFit="1" customWidth="1"/>
    <col min="304" max="304" width="10.85546875" customWidth="1"/>
    <col min="305" max="305" width="11.85546875" bestFit="1" customWidth="1"/>
    <col min="306" max="307" width="11.5703125" bestFit="1" customWidth="1"/>
    <col min="308" max="308" width="12.7109375" bestFit="1" customWidth="1"/>
    <col min="309" max="309" width="10.85546875" customWidth="1"/>
    <col min="310" max="310" width="11.85546875" bestFit="1" customWidth="1"/>
    <col min="311" max="312" width="11.5703125" bestFit="1" customWidth="1"/>
    <col min="313" max="313" width="12.7109375" bestFit="1" customWidth="1"/>
    <col min="314" max="314" width="10.85546875" customWidth="1"/>
    <col min="315" max="315" width="11.85546875" bestFit="1" customWidth="1"/>
    <col min="316" max="317" width="11.5703125" bestFit="1" customWidth="1"/>
    <col min="318" max="318" width="12.7109375" bestFit="1" customWidth="1"/>
    <col min="319" max="319" width="10.85546875" customWidth="1"/>
    <col min="320" max="320" width="11.85546875" bestFit="1" customWidth="1"/>
    <col min="321" max="322" width="11.5703125" bestFit="1" customWidth="1"/>
    <col min="323" max="323" width="12.7109375" bestFit="1" customWidth="1"/>
    <col min="324" max="324" width="10.85546875" customWidth="1"/>
    <col min="325" max="325" width="11.85546875" bestFit="1" customWidth="1"/>
    <col min="326" max="327" width="11.5703125" bestFit="1" customWidth="1"/>
    <col min="328" max="328" width="12.7109375" bestFit="1" customWidth="1"/>
    <col min="329" max="329" width="11.28515625" customWidth="1"/>
    <col min="330" max="330" width="11.85546875" bestFit="1" customWidth="1"/>
    <col min="331" max="331" width="11.5703125" bestFit="1" customWidth="1"/>
    <col min="333" max="333" width="10.7109375" bestFit="1" customWidth="1"/>
    <col min="334" max="334" width="11.5703125" bestFit="1" customWidth="1"/>
    <col min="335" max="335" width="12.7109375" bestFit="1" customWidth="1"/>
    <col min="336" max="336" width="11.7109375" customWidth="1"/>
    <col min="337" max="337" width="11.85546875" bestFit="1" customWidth="1"/>
    <col min="338" max="339" width="11.5703125" bestFit="1" customWidth="1"/>
    <col min="340" max="340" width="12.7109375" bestFit="1" customWidth="1"/>
    <col min="341" max="341" width="11.7109375" customWidth="1"/>
    <col min="342" max="342" width="11.85546875" bestFit="1" customWidth="1"/>
    <col min="343" max="344" width="11.5703125" bestFit="1" customWidth="1"/>
    <col min="345" max="345" width="12.7109375" bestFit="1" customWidth="1"/>
    <col min="346" max="346" width="11.7109375" customWidth="1"/>
    <col min="347" max="347" width="11.85546875" bestFit="1" customWidth="1"/>
    <col min="348" max="349" width="11.5703125" bestFit="1" customWidth="1"/>
    <col min="350" max="350" width="12.7109375" bestFit="1" customWidth="1"/>
    <col min="351" max="351" width="11.7109375" customWidth="1"/>
    <col min="352" max="352" width="11.85546875" bestFit="1" customWidth="1"/>
    <col min="353" max="354" width="11.5703125" bestFit="1" customWidth="1"/>
    <col min="355" max="355" width="12.7109375" bestFit="1" customWidth="1"/>
    <col min="356" max="356" width="11.7109375" customWidth="1"/>
    <col min="357" max="357" width="11.85546875" bestFit="1" customWidth="1"/>
    <col min="358" max="359" width="11.5703125" bestFit="1" customWidth="1"/>
    <col min="360" max="360" width="12.7109375" bestFit="1" customWidth="1"/>
    <col min="361" max="361" width="11.7109375" customWidth="1"/>
    <col min="362" max="362" width="12.28515625" customWidth="1"/>
    <col min="363" max="364" width="11.5703125" bestFit="1" customWidth="1"/>
    <col min="365" max="365" width="12.7109375" bestFit="1" customWidth="1"/>
    <col min="366" max="366" width="11.7109375" customWidth="1"/>
    <col min="367" max="367" width="11.85546875" bestFit="1" customWidth="1"/>
    <col min="368" max="369" width="11.5703125" bestFit="1" customWidth="1"/>
    <col min="370" max="370" width="12.7109375" bestFit="1" customWidth="1"/>
    <col min="371" max="371" width="11.7109375" customWidth="1"/>
    <col min="372" max="372" width="11.85546875" bestFit="1" customWidth="1"/>
    <col min="373" max="374" width="11.5703125" bestFit="1" customWidth="1"/>
    <col min="375" max="375" width="12.7109375" bestFit="1" customWidth="1"/>
    <col min="376" max="376" width="11.7109375" customWidth="1"/>
    <col min="377" max="377" width="11.85546875" bestFit="1" customWidth="1"/>
    <col min="378" max="379" width="11.5703125" bestFit="1" customWidth="1"/>
    <col min="380" max="380" width="12.7109375" bestFit="1" customWidth="1"/>
    <col min="381" max="381" width="11.7109375" customWidth="1"/>
    <col min="382" max="382" width="11.85546875" bestFit="1" customWidth="1"/>
    <col min="383" max="384" width="11.5703125" bestFit="1" customWidth="1"/>
    <col min="385" max="385" width="12.7109375" bestFit="1" customWidth="1"/>
    <col min="386" max="386" width="11.7109375" customWidth="1"/>
    <col min="387" max="387" width="11.85546875" bestFit="1" customWidth="1"/>
    <col min="388" max="389" width="11.5703125" bestFit="1" customWidth="1"/>
    <col min="390" max="390" width="12.7109375" bestFit="1" customWidth="1"/>
    <col min="391" max="391" width="11.7109375" customWidth="1"/>
    <col min="392" max="392" width="11.85546875" bestFit="1" customWidth="1"/>
    <col min="393" max="394" width="11.5703125" bestFit="1" customWidth="1"/>
    <col min="395" max="395" width="12.7109375" bestFit="1" customWidth="1"/>
    <col min="396" max="396" width="11.7109375" customWidth="1"/>
    <col min="397" max="397" width="11.85546875" bestFit="1" customWidth="1"/>
    <col min="398" max="399" width="11.5703125" bestFit="1" customWidth="1"/>
    <col min="400" max="400" width="12.7109375" bestFit="1" customWidth="1"/>
    <col min="401" max="401" width="11.7109375" customWidth="1"/>
    <col min="402" max="402" width="11.85546875" bestFit="1" customWidth="1"/>
    <col min="403" max="404" width="11.5703125" bestFit="1" customWidth="1"/>
    <col min="405" max="405" width="12.7109375" bestFit="1" customWidth="1"/>
    <col min="406" max="406" width="11.7109375" customWidth="1"/>
    <col min="407" max="407" width="11.85546875" bestFit="1" customWidth="1"/>
    <col min="408" max="409" width="11.5703125" bestFit="1" customWidth="1"/>
    <col min="410" max="410" width="12.7109375" bestFit="1" customWidth="1"/>
    <col min="411" max="411" width="11.7109375" customWidth="1"/>
    <col min="412" max="412" width="11.85546875" bestFit="1" customWidth="1"/>
    <col min="413" max="414" width="11.5703125" bestFit="1" customWidth="1"/>
    <col min="415" max="415" width="12.7109375" bestFit="1" customWidth="1"/>
    <col min="416" max="416" width="11.28515625" customWidth="1"/>
    <col min="417" max="417" width="11.85546875" bestFit="1" customWidth="1"/>
    <col min="418" max="419" width="11.5703125" bestFit="1" customWidth="1"/>
    <col min="420" max="420" width="12.7109375" bestFit="1" customWidth="1"/>
    <col min="421" max="421" width="11.7109375" customWidth="1"/>
    <col min="422" max="422" width="11.85546875" bestFit="1" customWidth="1"/>
    <col min="423" max="424" width="11.5703125" bestFit="1" customWidth="1"/>
    <col min="425" max="425" width="12.7109375" bestFit="1" customWidth="1"/>
    <col min="426" max="426" width="11.7109375" customWidth="1"/>
    <col min="427" max="427" width="11.85546875" bestFit="1" customWidth="1"/>
    <col min="428" max="428" width="11.5703125" bestFit="1" customWidth="1"/>
    <col min="430" max="430" width="10.7109375" hidden="1" customWidth="1"/>
    <col min="431" max="431" width="11.5703125" hidden="1" customWidth="1"/>
    <col min="432" max="432" width="12.7109375" hidden="1" customWidth="1"/>
    <col min="433" max="433" width="10.85546875" hidden="1" customWidth="1"/>
    <col min="434" max="434" width="11.85546875" hidden="1" customWidth="1"/>
    <col min="435" max="436" width="11.5703125" hidden="1" customWidth="1"/>
    <col min="437" max="437" width="12.7109375" hidden="1" customWidth="1"/>
    <col min="438" max="438" width="10.85546875" hidden="1" customWidth="1"/>
    <col min="439" max="439" width="11.85546875" hidden="1" customWidth="1"/>
    <col min="440" max="441" width="11.5703125" hidden="1" customWidth="1"/>
    <col min="442" max="442" width="12.7109375" hidden="1" customWidth="1"/>
    <col min="443" max="443" width="10.85546875" hidden="1" customWidth="1"/>
    <col min="444" max="444" width="11.85546875" hidden="1" customWidth="1"/>
    <col min="445" max="446" width="11.5703125" hidden="1" customWidth="1"/>
    <col min="447" max="447" width="12.7109375" hidden="1" customWidth="1"/>
    <col min="448" max="448" width="10.85546875" hidden="1" customWidth="1"/>
    <col min="449" max="449" width="11.85546875" hidden="1" customWidth="1"/>
    <col min="450" max="451" width="11.5703125" hidden="1" customWidth="1"/>
    <col min="452" max="452" width="12.7109375" hidden="1" customWidth="1"/>
    <col min="453" max="453" width="10.85546875" hidden="1" customWidth="1"/>
    <col min="454" max="454" width="11.85546875" hidden="1" customWidth="1"/>
    <col min="455" max="456" width="11.5703125" hidden="1" customWidth="1"/>
    <col min="457" max="457" width="12.7109375" hidden="1" customWidth="1"/>
    <col min="458" max="458" width="10.85546875" hidden="1" customWidth="1"/>
    <col min="459" max="459" width="11.85546875" hidden="1" customWidth="1"/>
    <col min="460" max="461" width="11.5703125" hidden="1" customWidth="1"/>
    <col min="462" max="462" width="12.7109375" hidden="1" customWidth="1"/>
    <col min="463" max="463" width="10.85546875" hidden="1" customWidth="1"/>
    <col min="464" max="464" width="11.85546875" hidden="1" customWidth="1"/>
    <col min="465" max="466" width="11.5703125" hidden="1" customWidth="1"/>
    <col min="467" max="467" width="12.7109375" hidden="1" customWidth="1"/>
    <col min="468" max="468" width="10.85546875" hidden="1" customWidth="1"/>
    <col min="469" max="469" width="11.85546875" hidden="1" customWidth="1"/>
    <col min="470" max="471" width="11.5703125" hidden="1" customWidth="1"/>
    <col min="472" max="472" width="12.7109375" hidden="1" customWidth="1"/>
    <col min="473" max="473" width="10.85546875" hidden="1" customWidth="1"/>
    <col min="474" max="474" width="11.85546875" hidden="1" customWidth="1"/>
    <col min="475" max="476" width="11.5703125" hidden="1" customWidth="1"/>
    <col min="477" max="477" width="12.7109375" hidden="1" customWidth="1"/>
    <col min="478" max="478" width="10.85546875" hidden="1" customWidth="1"/>
    <col min="479" max="479" width="11.85546875" hidden="1" customWidth="1"/>
    <col min="480" max="481" width="11.5703125" hidden="1" customWidth="1"/>
    <col min="482" max="482" width="12.7109375" hidden="1" customWidth="1"/>
    <col min="483" max="483" width="10.85546875" hidden="1" customWidth="1"/>
    <col min="484" max="484" width="11.85546875" hidden="1" customWidth="1"/>
    <col min="485" max="486" width="11.5703125" hidden="1" customWidth="1"/>
    <col min="487" max="487" width="12.7109375" hidden="1" customWidth="1"/>
    <col min="488" max="488" width="10.85546875" hidden="1" customWidth="1"/>
    <col min="489" max="489" width="11.85546875" hidden="1" customWidth="1"/>
    <col min="490" max="491" width="11.5703125" hidden="1" customWidth="1"/>
    <col min="492" max="492" width="12.7109375" hidden="1" customWidth="1"/>
    <col min="493" max="493" width="10.85546875" hidden="1" customWidth="1"/>
    <col min="494" max="494" width="11.85546875" hidden="1" customWidth="1"/>
    <col min="495" max="496" width="11.5703125" hidden="1" customWidth="1"/>
    <col min="497" max="497" width="12.7109375" hidden="1" customWidth="1"/>
    <col min="498" max="498" width="10.85546875" hidden="1" customWidth="1"/>
    <col min="499" max="499" width="11.85546875" hidden="1" customWidth="1"/>
    <col min="500" max="501" width="11.5703125" hidden="1" customWidth="1"/>
    <col min="502" max="502" width="12.7109375" hidden="1" customWidth="1"/>
    <col min="503" max="503" width="10.85546875" hidden="1" customWidth="1"/>
    <col min="504" max="504" width="11.85546875" hidden="1" customWidth="1"/>
    <col min="505" max="506" width="11.5703125" hidden="1" customWidth="1"/>
    <col min="507" max="507" width="12.7109375" hidden="1" customWidth="1"/>
    <col min="508" max="508" width="10.85546875" hidden="1" customWidth="1"/>
    <col min="509" max="509" width="11.85546875" hidden="1" customWidth="1"/>
    <col min="510" max="510" width="11.5703125" hidden="1" customWidth="1"/>
  </cols>
  <sheetData>
    <row r="6" spans="1:510" ht="30.75" customHeight="1" x14ac:dyDescent="0.25">
      <c r="B6" s="71" t="s">
        <v>19</v>
      </c>
      <c r="C6" s="71"/>
      <c r="D6" s="71"/>
      <c r="E6" s="71"/>
      <c r="F6" s="71"/>
      <c r="I6" s="71" t="s">
        <v>19</v>
      </c>
      <c r="J6" s="71"/>
      <c r="K6" s="71"/>
      <c r="L6" s="71"/>
      <c r="M6" s="71"/>
      <c r="P6" s="71" t="s">
        <v>19</v>
      </c>
      <c r="Q6" s="71"/>
      <c r="R6" s="71"/>
      <c r="S6" s="71"/>
      <c r="T6" s="71"/>
      <c r="W6" s="73" t="s">
        <v>19</v>
      </c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86"/>
      <c r="BC6" s="73" t="s">
        <v>19</v>
      </c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86"/>
      <c r="CI6" s="73" t="s">
        <v>19</v>
      </c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86"/>
      <c r="DO6" s="71" t="s">
        <v>19</v>
      </c>
      <c r="DP6" s="71"/>
      <c r="DQ6" s="71"/>
      <c r="DR6" s="71"/>
      <c r="DS6" s="71"/>
      <c r="DV6" s="71" t="s">
        <v>19</v>
      </c>
      <c r="DW6" s="71"/>
      <c r="DX6" s="71"/>
      <c r="DY6" s="71"/>
      <c r="DZ6" s="71"/>
      <c r="EC6" s="71" t="s">
        <v>19</v>
      </c>
      <c r="ED6" s="71"/>
      <c r="EE6" s="71"/>
      <c r="EF6" s="71"/>
      <c r="EG6" s="71"/>
      <c r="EJ6" s="71" t="s">
        <v>19</v>
      </c>
      <c r="EK6" s="71"/>
      <c r="EL6" s="71"/>
      <c r="EM6" s="71"/>
      <c r="EN6" s="71"/>
      <c r="EO6" s="71"/>
      <c r="EP6" s="71"/>
      <c r="EQ6" s="71"/>
      <c r="ER6" s="71"/>
      <c r="ES6" s="71"/>
      <c r="ET6" s="71"/>
      <c r="EU6" s="71"/>
      <c r="EV6" s="71"/>
      <c r="EW6" s="71"/>
      <c r="EX6" s="71"/>
      <c r="EY6" s="71"/>
      <c r="EZ6" s="71"/>
      <c r="FA6" s="71"/>
      <c r="FB6" s="71"/>
      <c r="FC6" s="71"/>
      <c r="FD6" s="71"/>
      <c r="FE6" s="71"/>
      <c r="FF6" s="71"/>
      <c r="FG6" s="71"/>
      <c r="FH6" s="71"/>
      <c r="FI6" s="71"/>
      <c r="FJ6" s="71"/>
      <c r="FK6" s="71"/>
      <c r="FL6" s="71"/>
      <c r="FM6" s="71"/>
      <c r="FN6" s="71"/>
      <c r="FO6" s="71"/>
      <c r="FP6" s="71"/>
      <c r="FQ6" s="71"/>
      <c r="FR6" s="71"/>
      <c r="FS6" s="71"/>
      <c r="FT6" s="71"/>
      <c r="FU6" s="71"/>
      <c r="FV6" s="71"/>
      <c r="FW6" s="71"/>
      <c r="FX6" s="71"/>
      <c r="FY6" s="71"/>
      <c r="FZ6" s="71"/>
      <c r="GA6" s="71"/>
      <c r="GB6" s="71"/>
      <c r="GC6" s="71"/>
      <c r="GD6" s="71"/>
      <c r="GE6" s="71"/>
      <c r="GF6" s="71"/>
      <c r="GG6" s="71"/>
      <c r="GH6" s="71"/>
      <c r="GI6" s="71"/>
      <c r="GJ6" s="71"/>
      <c r="GK6" s="71"/>
      <c r="GL6" s="71"/>
      <c r="GM6" s="71"/>
      <c r="GN6" s="71"/>
      <c r="GO6" s="71"/>
      <c r="GP6" s="71"/>
      <c r="GQ6" s="71"/>
      <c r="GR6" s="71"/>
      <c r="GS6" s="71"/>
      <c r="GT6" s="71"/>
      <c r="GU6" s="71"/>
      <c r="GV6" s="71"/>
      <c r="GW6" s="71"/>
      <c r="GX6" s="71"/>
      <c r="GY6" s="71"/>
      <c r="GZ6" s="71"/>
      <c r="HA6" s="71"/>
      <c r="HB6" s="71"/>
      <c r="HC6" s="71"/>
      <c r="HD6" s="71"/>
      <c r="HE6" s="71"/>
      <c r="HF6" s="71"/>
      <c r="HG6" s="71"/>
      <c r="HH6" s="71"/>
      <c r="HI6" s="71"/>
      <c r="HJ6" s="71"/>
      <c r="HK6" s="71"/>
      <c r="HL6" s="71"/>
      <c r="HM6" s="71"/>
      <c r="HN6" s="71"/>
      <c r="HO6" s="71"/>
      <c r="HP6" s="71"/>
      <c r="HQ6" s="71"/>
      <c r="HR6" s="71"/>
      <c r="HS6" s="71"/>
      <c r="HT6" s="71"/>
      <c r="HU6" s="71"/>
      <c r="HV6" s="71"/>
      <c r="HW6" s="71"/>
      <c r="HX6" s="71"/>
      <c r="HY6" s="71"/>
      <c r="HZ6" s="71"/>
      <c r="IC6" s="73" t="s">
        <v>19</v>
      </c>
      <c r="ID6" s="72"/>
      <c r="IE6" s="72"/>
      <c r="IF6" s="72"/>
      <c r="IG6" s="72"/>
      <c r="IH6" s="72"/>
      <c r="II6" s="72"/>
      <c r="IJ6" s="72"/>
      <c r="IK6" s="72"/>
      <c r="IL6" s="72"/>
      <c r="IM6" s="72"/>
      <c r="IN6" s="72"/>
      <c r="IO6" s="72"/>
      <c r="IP6" s="72"/>
      <c r="IQ6" s="72"/>
      <c r="IR6" s="72"/>
      <c r="IS6" s="72"/>
      <c r="IT6" s="72"/>
      <c r="IU6" s="72"/>
      <c r="IV6" s="72"/>
      <c r="IW6" s="72"/>
      <c r="IX6" s="72"/>
      <c r="IY6" s="72"/>
      <c r="IZ6" s="72"/>
      <c r="JA6" s="72"/>
      <c r="JB6" s="72"/>
      <c r="JC6" s="72"/>
      <c r="JD6" s="72"/>
      <c r="JE6" s="72"/>
      <c r="JF6" s="72"/>
      <c r="JG6" s="72"/>
      <c r="JH6" s="72"/>
      <c r="JI6" s="72"/>
      <c r="JJ6" s="72"/>
      <c r="JK6" s="72"/>
      <c r="JL6" s="72"/>
      <c r="JM6" s="72"/>
      <c r="JN6" s="72"/>
      <c r="JO6" s="72"/>
      <c r="JP6" s="72"/>
      <c r="JQ6" s="72"/>
      <c r="JR6" s="72"/>
      <c r="JS6" s="72"/>
      <c r="JT6" s="72"/>
      <c r="JU6" s="72"/>
      <c r="JV6" s="72"/>
      <c r="JW6" s="72"/>
      <c r="JX6" s="72"/>
      <c r="JY6" s="72"/>
      <c r="JZ6" s="72"/>
      <c r="KA6" s="72"/>
      <c r="KB6" s="72"/>
      <c r="KC6" s="72"/>
      <c r="KD6" s="72"/>
      <c r="KE6" s="72"/>
      <c r="KF6" s="72"/>
      <c r="KG6" s="72"/>
      <c r="KH6" s="72"/>
      <c r="KI6" s="72"/>
      <c r="KJ6" s="72"/>
      <c r="KK6" s="72"/>
      <c r="KL6" s="72"/>
      <c r="KM6" s="72"/>
      <c r="KN6" s="72"/>
      <c r="KO6" s="72"/>
      <c r="KP6" s="72"/>
      <c r="KQ6" s="72"/>
      <c r="KR6" s="72"/>
      <c r="KS6" s="72"/>
      <c r="KT6" s="72"/>
      <c r="KU6" s="72"/>
      <c r="KV6" s="72"/>
      <c r="KW6" s="72"/>
      <c r="KX6" s="72"/>
      <c r="KY6" s="72"/>
      <c r="KZ6" s="72"/>
      <c r="LA6" s="72"/>
      <c r="LB6" s="72"/>
      <c r="LC6" s="72"/>
      <c r="LD6" s="72"/>
      <c r="LE6" s="72"/>
      <c r="LF6" s="72"/>
      <c r="LG6" s="72"/>
      <c r="LH6" s="72"/>
      <c r="LI6" s="72"/>
      <c r="LJ6" s="72"/>
      <c r="LK6" s="72"/>
      <c r="LL6" s="72"/>
      <c r="LM6" s="72"/>
      <c r="LN6" s="72"/>
      <c r="LO6" s="72"/>
      <c r="LP6" s="72"/>
      <c r="LQ6" s="72"/>
      <c r="LR6" s="72"/>
      <c r="LS6" s="86"/>
      <c r="LV6" s="71" t="s">
        <v>19</v>
      </c>
      <c r="LW6" s="71"/>
      <c r="LX6" s="71"/>
      <c r="LY6" s="71"/>
      <c r="LZ6" s="71"/>
      <c r="MA6" s="71"/>
      <c r="MB6" s="71"/>
      <c r="MC6" s="71"/>
      <c r="MD6" s="71"/>
      <c r="ME6" s="71"/>
      <c r="MF6" s="71"/>
      <c r="MG6" s="71"/>
      <c r="MH6" s="71"/>
      <c r="MI6" s="71"/>
      <c r="MJ6" s="71"/>
      <c r="MK6" s="71"/>
      <c r="ML6" s="71"/>
      <c r="MM6" s="71"/>
      <c r="MN6" s="71"/>
      <c r="MO6" s="71"/>
      <c r="MP6" s="71"/>
      <c r="MQ6" s="71"/>
      <c r="MR6" s="71"/>
      <c r="MS6" s="71"/>
      <c r="MT6" s="71"/>
      <c r="MU6" s="71"/>
      <c r="MV6" s="71"/>
      <c r="MW6" s="71"/>
      <c r="MX6" s="71"/>
      <c r="MY6" s="71"/>
      <c r="MZ6" s="71"/>
      <c r="NA6" s="71"/>
      <c r="NB6" s="71"/>
      <c r="NC6" s="71"/>
      <c r="ND6" s="71"/>
      <c r="NE6" s="71"/>
      <c r="NF6" s="71"/>
      <c r="NG6" s="71"/>
      <c r="NH6" s="71"/>
      <c r="NI6" s="71"/>
      <c r="NJ6" s="71"/>
      <c r="NK6" s="71"/>
      <c r="NL6" s="71"/>
      <c r="NM6" s="71"/>
      <c r="NN6" s="71"/>
      <c r="NO6" s="71"/>
      <c r="NP6" s="71"/>
      <c r="NQ6" s="71"/>
      <c r="NR6" s="71"/>
      <c r="NS6" s="71"/>
      <c r="NT6" s="71"/>
      <c r="NU6" s="71"/>
      <c r="NV6" s="71"/>
      <c r="NW6" s="71"/>
      <c r="NX6" s="71"/>
      <c r="NY6" s="71"/>
      <c r="NZ6" s="71"/>
      <c r="OA6" s="71"/>
      <c r="OB6" s="71"/>
      <c r="OC6" s="71"/>
      <c r="OD6" s="71"/>
      <c r="OE6" s="71"/>
      <c r="OF6" s="71"/>
      <c r="OG6" s="71"/>
      <c r="OH6" s="71"/>
      <c r="OI6" s="71"/>
      <c r="OJ6" s="71"/>
      <c r="OK6" s="71"/>
      <c r="OL6" s="71"/>
      <c r="OM6" s="71"/>
      <c r="ON6" s="71"/>
      <c r="OO6" s="71"/>
      <c r="OP6" s="71"/>
      <c r="OQ6" s="71"/>
      <c r="OR6" s="71"/>
      <c r="OS6" s="71"/>
      <c r="OT6" s="71"/>
      <c r="OU6" s="71"/>
      <c r="OV6" s="71"/>
      <c r="OW6" s="71"/>
      <c r="OX6" s="71"/>
      <c r="OY6" s="71"/>
      <c r="OZ6" s="71"/>
      <c r="PA6" s="71"/>
      <c r="PB6" s="71"/>
      <c r="PC6" s="71"/>
      <c r="PD6" s="71"/>
      <c r="PE6" s="71"/>
      <c r="PF6" s="71"/>
      <c r="PG6" s="71"/>
      <c r="PH6" s="71"/>
      <c r="PI6" s="71"/>
      <c r="PJ6" s="71"/>
      <c r="PK6" s="71"/>
      <c r="PL6" s="71"/>
      <c r="PO6" s="73" t="s">
        <v>19</v>
      </c>
      <c r="PP6" s="72"/>
      <c r="PQ6" s="72"/>
      <c r="PR6" s="72"/>
      <c r="PS6" s="72"/>
      <c r="PT6" s="72"/>
      <c r="PU6" s="72"/>
      <c r="PV6" s="72"/>
      <c r="PW6" s="72"/>
      <c r="PX6" s="72"/>
      <c r="PY6" s="72"/>
      <c r="PZ6" s="72"/>
      <c r="QA6" s="72"/>
      <c r="QB6" s="72"/>
      <c r="QC6" s="72"/>
      <c r="QD6" s="72"/>
      <c r="QE6" s="72"/>
      <c r="QF6" s="72"/>
      <c r="QG6" s="72"/>
      <c r="QH6" s="72"/>
      <c r="QI6" s="72"/>
      <c r="QJ6" s="72"/>
      <c r="QK6" s="72"/>
      <c r="QL6" s="72"/>
      <c r="QM6" s="72"/>
      <c r="QN6" s="72"/>
      <c r="QO6" s="72"/>
      <c r="QP6" s="72"/>
      <c r="QQ6" s="72"/>
      <c r="QR6" s="72"/>
      <c r="QS6" s="72"/>
      <c r="QT6" s="72"/>
      <c r="QU6" s="72"/>
      <c r="QV6" s="72"/>
      <c r="QW6" s="72"/>
      <c r="QX6" s="72"/>
      <c r="QY6" s="72"/>
      <c r="QZ6" s="72"/>
      <c r="RA6" s="72"/>
      <c r="RB6" s="72"/>
      <c r="RC6" s="72"/>
      <c r="RD6" s="72"/>
      <c r="RE6" s="72"/>
      <c r="RF6" s="72"/>
      <c r="RG6" s="72"/>
      <c r="RH6" s="72"/>
      <c r="RI6" s="72"/>
      <c r="RJ6" s="72"/>
      <c r="RK6" s="72"/>
      <c r="RL6" s="72"/>
      <c r="RM6" s="72"/>
      <c r="RN6" s="72"/>
      <c r="RO6" s="72"/>
      <c r="RP6" s="72"/>
      <c r="RQ6" s="72"/>
      <c r="RR6" s="72"/>
      <c r="RS6" s="72"/>
      <c r="RT6" s="72"/>
      <c r="RU6" s="72"/>
      <c r="RV6" s="72"/>
      <c r="RW6" s="72"/>
      <c r="RX6" s="72"/>
      <c r="RY6" s="72"/>
      <c r="RZ6" s="72"/>
      <c r="SA6" s="72"/>
      <c r="SB6" s="72"/>
      <c r="SC6" s="72"/>
      <c r="SD6" s="72"/>
      <c r="SE6" s="72"/>
      <c r="SF6" s="72"/>
      <c r="SG6" s="72"/>
      <c r="SH6" s="72"/>
      <c r="SI6" s="72"/>
      <c r="SJ6" s="72"/>
      <c r="SK6" s="72"/>
      <c r="SL6" s="72"/>
      <c r="SM6" s="72"/>
      <c r="SN6" s="72"/>
      <c r="SO6" s="72"/>
      <c r="SP6" s="86"/>
    </row>
    <row r="7" spans="1:510" x14ac:dyDescent="0.25">
      <c r="A7" s="8"/>
      <c r="B7" s="74">
        <v>2024</v>
      </c>
      <c r="C7" s="74"/>
      <c r="D7" s="74"/>
      <c r="E7" s="74"/>
      <c r="F7" s="74"/>
      <c r="H7" s="8"/>
      <c r="I7" s="74">
        <v>2024</v>
      </c>
      <c r="J7" s="74"/>
      <c r="K7" s="74"/>
      <c r="L7" s="74"/>
      <c r="M7" s="74"/>
      <c r="O7" s="8"/>
      <c r="P7" s="74">
        <v>2024</v>
      </c>
      <c r="Q7" s="74"/>
      <c r="R7" s="74"/>
      <c r="S7" s="74"/>
      <c r="T7" s="74"/>
      <c r="V7" s="8"/>
      <c r="W7" s="69">
        <v>2024</v>
      </c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85"/>
      <c r="BB7" s="8"/>
      <c r="BC7" s="69">
        <v>2024</v>
      </c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85"/>
      <c r="CH7" s="8"/>
      <c r="CI7" s="69">
        <v>2024</v>
      </c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0"/>
      <c r="DJ7" s="70"/>
      <c r="DK7" s="70"/>
      <c r="DL7" s="85"/>
      <c r="DN7" s="8"/>
      <c r="DO7" s="74">
        <v>2024</v>
      </c>
      <c r="DP7" s="74"/>
      <c r="DQ7" s="74"/>
      <c r="DR7" s="74"/>
      <c r="DS7" s="74"/>
      <c r="DU7" s="8"/>
      <c r="DV7" s="74">
        <v>2024</v>
      </c>
      <c r="DW7" s="74"/>
      <c r="DX7" s="74"/>
      <c r="DY7" s="74"/>
      <c r="DZ7" s="74"/>
      <c r="EB7" s="8"/>
      <c r="EC7" s="74">
        <v>2024</v>
      </c>
      <c r="ED7" s="74"/>
      <c r="EE7" s="74"/>
      <c r="EF7" s="74"/>
      <c r="EG7" s="74"/>
      <c r="EI7" s="8"/>
      <c r="EJ7" s="74">
        <v>2024</v>
      </c>
      <c r="EK7" s="74"/>
      <c r="EL7" s="74"/>
      <c r="EM7" s="74"/>
      <c r="EN7" s="74"/>
      <c r="EO7" s="74"/>
      <c r="EP7" s="74"/>
      <c r="EQ7" s="74"/>
      <c r="ER7" s="74"/>
      <c r="ES7" s="74"/>
      <c r="ET7" s="74"/>
      <c r="EU7" s="74"/>
      <c r="EV7" s="74"/>
      <c r="EW7" s="74"/>
      <c r="EX7" s="74"/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74"/>
      <c r="FL7" s="74"/>
      <c r="FM7" s="74"/>
      <c r="FN7" s="74"/>
      <c r="FO7" s="74"/>
      <c r="FP7" s="74"/>
      <c r="FQ7" s="74"/>
      <c r="FR7" s="74"/>
      <c r="FS7" s="74"/>
      <c r="FT7" s="74"/>
      <c r="FU7" s="74"/>
      <c r="FV7" s="74"/>
      <c r="FW7" s="74"/>
      <c r="FX7" s="74"/>
      <c r="FY7" s="74"/>
      <c r="FZ7" s="74"/>
      <c r="GA7" s="74"/>
      <c r="GB7" s="74"/>
      <c r="GC7" s="74"/>
      <c r="GD7" s="74"/>
      <c r="GE7" s="74"/>
      <c r="GF7" s="74"/>
      <c r="GG7" s="74"/>
      <c r="GH7" s="74"/>
      <c r="GI7" s="74"/>
      <c r="GJ7" s="74"/>
      <c r="GK7" s="74"/>
      <c r="GL7" s="74"/>
      <c r="GM7" s="74"/>
      <c r="GN7" s="74"/>
      <c r="GO7" s="74"/>
      <c r="GP7" s="74"/>
      <c r="GQ7" s="74"/>
      <c r="GR7" s="74"/>
      <c r="GS7" s="74"/>
      <c r="GT7" s="74"/>
      <c r="GU7" s="74"/>
      <c r="GV7" s="74"/>
      <c r="GW7" s="74"/>
      <c r="GX7" s="74"/>
      <c r="GY7" s="74"/>
      <c r="GZ7" s="74"/>
      <c r="HA7" s="74"/>
      <c r="HB7" s="74"/>
      <c r="HC7" s="74"/>
      <c r="HD7" s="74"/>
      <c r="HE7" s="74"/>
      <c r="HF7" s="74"/>
      <c r="HG7" s="74"/>
      <c r="HH7" s="74"/>
      <c r="HI7" s="74"/>
      <c r="HJ7" s="74"/>
      <c r="HK7" s="74"/>
      <c r="HL7" s="74"/>
      <c r="HM7" s="74"/>
      <c r="HN7" s="74"/>
      <c r="HO7" s="74"/>
      <c r="HP7" s="74"/>
      <c r="HQ7" s="74"/>
      <c r="HR7" s="74"/>
      <c r="HS7" s="74"/>
      <c r="HT7" s="74"/>
      <c r="HU7" s="74"/>
      <c r="HV7" s="74"/>
      <c r="HW7" s="74"/>
      <c r="HX7" s="74"/>
      <c r="HY7" s="74"/>
      <c r="HZ7" s="74"/>
      <c r="IB7" s="8"/>
      <c r="IC7" s="69">
        <v>2024</v>
      </c>
      <c r="ID7" s="70"/>
      <c r="IE7" s="70"/>
      <c r="IF7" s="70"/>
      <c r="IG7" s="70"/>
      <c r="IH7" s="70"/>
      <c r="II7" s="70"/>
      <c r="IJ7" s="70"/>
      <c r="IK7" s="70"/>
      <c r="IL7" s="70"/>
      <c r="IM7" s="70"/>
      <c r="IN7" s="70"/>
      <c r="IO7" s="70"/>
      <c r="IP7" s="70"/>
      <c r="IQ7" s="70"/>
      <c r="IR7" s="70"/>
      <c r="IS7" s="70"/>
      <c r="IT7" s="70"/>
      <c r="IU7" s="70"/>
      <c r="IV7" s="70"/>
      <c r="IW7" s="70"/>
      <c r="IX7" s="70"/>
      <c r="IY7" s="70"/>
      <c r="IZ7" s="70"/>
      <c r="JA7" s="70"/>
      <c r="JB7" s="70"/>
      <c r="JC7" s="70"/>
      <c r="JD7" s="70"/>
      <c r="JE7" s="70"/>
      <c r="JF7" s="70"/>
      <c r="JG7" s="70"/>
      <c r="JH7" s="70"/>
      <c r="JI7" s="70"/>
      <c r="JJ7" s="70"/>
      <c r="JK7" s="70"/>
      <c r="JL7" s="70"/>
      <c r="JM7" s="70"/>
      <c r="JN7" s="70"/>
      <c r="JO7" s="70"/>
      <c r="JP7" s="70"/>
      <c r="JQ7" s="70"/>
      <c r="JR7" s="70"/>
      <c r="JS7" s="70"/>
      <c r="JT7" s="70"/>
      <c r="JU7" s="70"/>
      <c r="JV7" s="70"/>
      <c r="JW7" s="70"/>
      <c r="JX7" s="70"/>
      <c r="JY7" s="70"/>
      <c r="JZ7" s="70"/>
      <c r="KA7" s="70"/>
      <c r="KB7" s="70"/>
      <c r="KC7" s="70"/>
      <c r="KD7" s="70"/>
      <c r="KE7" s="70"/>
      <c r="KF7" s="70"/>
      <c r="KG7" s="70"/>
      <c r="KH7" s="70"/>
      <c r="KI7" s="70"/>
      <c r="KJ7" s="70"/>
      <c r="KK7" s="70"/>
      <c r="KL7" s="70"/>
      <c r="KM7" s="70"/>
      <c r="KN7" s="70"/>
      <c r="KO7" s="70"/>
      <c r="KP7" s="70"/>
      <c r="KQ7" s="70"/>
      <c r="KR7" s="70"/>
      <c r="KS7" s="70"/>
      <c r="KT7" s="70"/>
      <c r="KU7" s="70"/>
      <c r="KV7" s="70"/>
      <c r="KW7" s="70"/>
      <c r="KX7" s="70"/>
      <c r="KY7" s="70"/>
      <c r="KZ7" s="70"/>
      <c r="LA7" s="70"/>
      <c r="LB7" s="70"/>
      <c r="LC7" s="70"/>
      <c r="LD7" s="70"/>
      <c r="LE7" s="70"/>
      <c r="LF7" s="70"/>
      <c r="LG7" s="70"/>
      <c r="LH7" s="70"/>
      <c r="LI7" s="70"/>
      <c r="LJ7" s="70"/>
      <c r="LK7" s="70"/>
      <c r="LL7" s="70"/>
      <c r="LM7" s="70"/>
      <c r="LN7" s="70"/>
      <c r="LO7" s="70"/>
      <c r="LP7" s="70"/>
      <c r="LQ7" s="70"/>
      <c r="LR7" s="70"/>
      <c r="LS7" s="85"/>
      <c r="LU7" s="8"/>
      <c r="LV7" s="74">
        <v>2024</v>
      </c>
      <c r="LW7" s="74"/>
      <c r="LX7" s="74"/>
      <c r="LY7" s="74"/>
      <c r="LZ7" s="74"/>
      <c r="MA7" s="74"/>
      <c r="MB7" s="74"/>
      <c r="MC7" s="74"/>
      <c r="MD7" s="74"/>
      <c r="ME7" s="74"/>
      <c r="MF7" s="74"/>
      <c r="MG7" s="74"/>
      <c r="MH7" s="74"/>
      <c r="MI7" s="74"/>
      <c r="MJ7" s="74"/>
      <c r="MK7" s="74"/>
      <c r="ML7" s="74"/>
      <c r="MM7" s="74"/>
      <c r="MN7" s="74"/>
      <c r="MO7" s="74"/>
      <c r="MP7" s="74"/>
      <c r="MQ7" s="74"/>
      <c r="MR7" s="74"/>
      <c r="MS7" s="74"/>
      <c r="MT7" s="74"/>
      <c r="MU7" s="74"/>
      <c r="MV7" s="74"/>
      <c r="MW7" s="74"/>
      <c r="MX7" s="74"/>
      <c r="MY7" s="74"/>
      <c r="MZ7" s="74"/>
      <c r="NA7" s="74"/>
      <c r="NB7" s="74"/>
      <c r="NC7" s="74"/>
      <c r="ND7" s="74"/>
      <c r="NE7" s="74"/>
      <c r="NF7" s="74"/>
      <c r="NG7" s="74"/>
      <c r="NH7" s="74"/>
      <c r="NI7" s="74"/>
      <c r="NJ7" s="74"/>
      <c r="NK7" s="74"/>
      <c r="NL7" s="74"/>
      <c r="NM7" s="74"/>
      <c r="NN7" s="74"/>
      <c r="NO7" s="74"/>
      <c r="NP7" s="74"/>
      <c r="NQ7" s="74"/>
      <c r="NR7" s="74"/>
      <c r="NS7" s="74"/>
      <c r="NT7" s="74"/>
      <c r="NU7" s="74"/>
      <c r="NV7" s="74"/>
      <c r="NW7" s="74"/>
      <c r="NX7" s="74"/>
      <c r="NY7" s="74"/>
      <c r="NZ7" s="74"/>
      <c r="OA7" s="74"/>
      <c r="OB7" s="74"/>
      <c r="OC7" s="74"/>
      <c r="OD7" s="74"/>
      <c r="OE7" s="74"/>
      <c r="OF7" s="74"/>
      <c r="OG7" s="74"/>
      <c r="OH7" s="74"/>
      <c r="OI7" s="74"/>
      <c r="OJ7" s="74"/>
      <c r="OK7" s="74"/>
      <c r="OL7" s="74"/>
      <c r="OM7" s="74"/>
      <c r="ON7" s="74"/>
      <c r="OO7" s="74"/>
      <c r="OP7" s="74"/>
      <c r="OQ7" s="74"/>
      <c r="OR7" s="74"/>
      <c r="OS7" s="74"/>
      <c r="OT7" s="74"/>
      <c r="OU7" s="74"/>
      <c r="OV7" s="74"/>
      <c r="OW7" s="74"/>
      <c r="OX7" s="74"/>
      <c r="OY7" s="74"/>
      <c r="OZ7" s="74"/>
      <c r="PA7" s="74"/>
      <c r="PB7" s="74"/>
      <c r="PC7" s="74"/>
      <c r="PD7" s="74"/>
      <c r="PE7" s="74"/>
      <c r="PF7" s="74"/>
      <c r="PG7" s="74"/>
      <c r="PH7" s="74"/>
      <c r="PI7" s="74"/>
      <c r="PJ7" s="74"/>
      <c r="PK7" s="74"/>
      <c r="PL7" s="74"/>
      <c r="PN7" s="8"/>
      <c r="PO7" s="69">
        <v>2024</v>
      </c>
      <c r="PP7" s="70"/>
      <c r="PQ7" s="70"/>
      <c r="PR7" s="70"/>
      <c r="PS7" s="70"/>
      <c r="PT7" s="70"/>
      <c r="PU7" s="70"/>
      <c r="PV7" s="70"/>
      <c r="PW7" s="70"/>
      <c r="PX7" s="70"/>
      <c r="PY7" s="70"/>
      <c r="PZ7" s="70"/>
      <c r="QA7" s="70"/>
      <c r="QB7" s="70"/>
      <c r="QC7" s="70"/>
      <c r="QD7" s="70"/>
      <c r="QE7" s="70"/>
      <c r="QF7" s="70"/>
      <c r="QG7" s="70"/>
      <c r="QH7" s="70"/>
      <c r="QI7" s="70"/>
      <c r="QJ7" s="70"/>
      <c r="QK7" s="70"/>
      <c r="QL7" s="70"/>
      <c r="QM7" s="70"/>
      <c r="QN7" s="70"/>
      <c r="QO7" s="70"/>
      <c r="QP7" s="70"/>
      <c r="QQ7" s="70"/>
      <c r="QR7" s="70"/>
      <c r="QS7" s="70"/>
      <c r="QT7" s="70"/>
      <c r="QU7" s="70"/>
      <c r="QV7" s="70"/>
      <c r="QW7" s="70"/>
      <c r="QX7" s="70"/>
      <c r="QY7" s="70"/>
      <c r="QZ7" s="70"/>
      <c r="RA7" s="70"/>
      <c r="RB7" s="70"/>
      <c r="RC7" s="70"/>
      <c r="RD7" s="70"/>
      <c r="RE7" s="70"/>
      <c r="RF7" s="70"/>
      <c r="RG7" s="70"/>
      <c r="RH7" s="70"/>
      <c r="RI7" s="70"/>
      <c r="RJ7" s="70"/>
      <c r="RK7" s="70"/>
      <c r="RL7" s="70"/>
      <c r="RM7" s="70"/>
      <c r="RN7" s="70"/>
      <c r="RO7" s="70"/>
      <c r="RP7" s="70"/>
      <c r="RQ7" s="70"/>
      <c r="RR7" s="70"/>
      <c r="RS7" s="70"/>
      <c r="RT7" s="70"/>
      <c r="RU7" s="70"/>
      <c r="RV7" s="70"/>
      <c r="RW7" s="70"/>
      <c r="RX7" s="70"/>
      <c r="RY7" s="70"/>
      <c r="RZ7" s="70"/>
      <c r="SA7" s="70"/>
      <c r="SB7" s="70"/>
      <c r="SC7" s="70"/>
      <c r="SD7" s="70"/>
      <c r="SE7" s="70"/>
      <c r="SF7" s="70"/>
      <c r="SG7" s="70"/>
      <c r="SH7" s="70"/>
      <c r="SI7" s="70"/>
      <c r="SJ7" s="70"/>
      <c r="SK7" s="70"/>
      <c r="SL7" s="70"/>
      <c r="SM7" s="70"/>
      <c r="SN7" s="70"/>
      <c r="SO7" s="70"/>
      <c r="SP7" s="85"/>
    </row>
    <row r="8" spans="1:510" x14ac:dyDescent="0.25">
      <c r="A8" s="8"/>
      <c r="B8" s="74" t="s">
        <v>94</v>
      </c>
      <c r="C8" s="74"/>
      <c r="D8" s="74"/>
      <c r="E8" s="74"/>
      <c r="F8" s="74"/>
      <c r="H8" s="8"/>
      <c r="I8" s="74" t="s">
        <v>94</v>
      </c>
      <c r="J8" s="74"/>
      <c r="K8" s="74"/>
      <c r="L8" s="74"/>
      <c r="M8" s="74"/>
      <c r="O8" s="8"/>
      <c r="P8" s="74" t="s">
        <v>94</v>
      </c>
      <c r="Q8" s="74"/>
      <c r="R8" s="74"/>
      <c r="S8" s="74"/>
      <c r="T8" s="74"/>
      <c r="V8" s="8"/>
      <c r="W8" s="69" t="s">
        <v>96</v>
      </c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85"/>
      <c r="BB8" s="8"/>
      <c r="BC8" s="69" t="s">
        <v>96</v>
      </c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85"/>
      <c r="CH8" s="8"/>
      <c r="CI8" s="69" t="s">
        <v>96</v>
      </c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70"/>
      <c r="DJ8" s="70"/>
      <c r="DK8" s="70"/>
      <c r="DL8" s="85"/>
      <c r="DN8" s="8"/>
      <c r="DO8" s="74">
        <v>2024</v>
      </c>
      <c r="DP8" s="74"/>
      <c r="DQ8" s="74"/>
      <c r="DR8" s="74"/>
      <c r="DS8" s="74"/>
      <c r="DU8" s="8"/>
      <c r="DV8" s="74">
        <v>2024</v>
      </c>
      <c r="DW8" s="74"/>
      <c r="DX8" s="74"/>
      <c r="DY8" s="74"/>
      <c r="DZ8" s="74"/>
      <c r="EB8" s="8"/>
      <c r="EC8" s="74">
        <v>2024</v>
      </c>
      <c r="ED8" s="74"/>
      <c r="EE8" s="74"/>
      <c r="EF8" s="74"/>
      <c r="EG8" s="74"/>
      <c r="EI8" s="8"/>
      <c r="EJ8" s="74" t="s">
        <v>95</v>
      </c>
      <c r="EK8" s="74"/>
      <c r="EL8" s="74"/>
      <c r="EM8" s="74"/>
      <c r="EN8" s="74"/>
      <c r="EO8" s="74"/>
      <c r="EP8" s="74"/>
      <c r="EQ8" s="74"/>
      <c r="ER8" s="74"/>
      <c r="ES8" s="74"/>
      <c r="ET8" s="74"/>
      <c r="EU8" s="74"/>
      <c r="EV8" s="74"/>
      <c r="EW8" s="74"/>
      <c r="EX8" s="74"/>
      <c r="EY8" s="74"/>
      <c r="EZ8" s="74"/>
      <c r="FA8" s="74"/>
      <c r="FB8" s="74"/>
      <c r="FC8" s="74"/>
      <c r="FD8" s="74"/>
      <c r="FE8" s="74"/>
      <c r="FF8" s="74"/>
      <c r="FG8" s="74"/>
      <c r="FH8" s="74"/>
      <c r="FI8" s="74"/>
      <c r="FJ8" s="74"/>
      <c r="FK8" s="74"/>
      <c r="FL8" s="74"/>
      <c r="FM8" s="74"/>
      <c r="FN8" s="74"/>
      <c r="FO8" s="74"/>
      <c r="FP8" s="74"/>
      <c r="FQ8" s="74"/>
      <c r="FR8" s="74"/>
      <c r="FS8" s="74"/>
      <c r="FT8" s="74"/>
      <c r="FU8" s="74"/>
      <c r="FV8" s="74"/>
      <c r="FW8" s="74"/>
      <c r="FX8" s="74"/>
      <c r="FY8" s="74"/>
      <c r="FZ8" s="74"/>
      <c r="GA8" s="74"/>
      <c r="GB8" s="74"/>
      <c r="GC8" s="74"/>
      <c r="GD8" s="74"/>
      <c r="GE8" s="74"/>
      <c r="GF8" s="74"/>
      <c r="GG8" s="74"/>
      <c r="GH8" s="74"/>
      <c r="GI8" s="74"/>
      <c r="GJ8" s="74"/>
      <c r="GK8" s="74"/>
      <c r="GL8" s="74"/>
      <c r="GM8" s="74"/>
      <c r="GN8" s="74"/>
      <c r="GO8" s="74"/>
      <c r="GP8" s="74"/>
      <c r="GQ8" s="74"/>
      <c r="GR8" s="74"/>
      <c r="GS8" s="74"/>
      <c r="GT8" s="74"/>
      <c r="GU8" s="74"/>
      <c r="GV8" s="74"/>
      <c r="GW8" s="74"/>
      <c r="GX8" s="74"/>
      <c r="GY8" s="74"/>
      <c r="GZ8" s="74"/>
      <c r="HA8" s="74"/>
      <c r="HB8" s="74"/>
      <c r="HC8" s="74"/>
      <c r="HD8" s="74"/>
      <c r="HE8" s="74"/>
      <c r="HF8" s="74"/>
      <c r="HG8" s="74"/>
      <c r="HH8" s="74"/>
      <c r="HI8" s="74"/>
      <c r="HJ8" s="74"/>
      <c r="HK8" s="74"/>
      <c r="HL8" s="74"/>
      <c r="HM8" s="74"/>
      <c r="HN8" s="74"/>
      <c r="HO8" s="74"/>
      <c r="HP8" s="74"/>
      <c r="HQ8" s="74"/>
      <c r="HR8" s="74"/>
      <c r="HS8" s="74"/>
      <c r="HT8" s="74"/>
      <c r="HU8" s="74"/>
      <c r="HV8" s="74"/>
      <c r="HW8" s="74"/>
      <c r="HX8" s="74"/>
      <c r="HY8" s="74"/>
      <c r="HZ8" s="74"/>
      <c r="IB8" s="8"/>
      <c r="IC8" s="69" t="s">
        <v>95</v>
      </c>
      <c r="ID8" s="70"/>
      <c r="IE8" s="70"/>
      <c r="IF8" s="70"/>
      <c r="IG8" s="70"/>
      <c r="IH8" s="70"/>
      <c r="II8" s="70"/>
      <c r="IJ8" s="70"/>
      <c r="IK8" s="70"/>
      <c r="IL8" s="70"/>
      <c r="IM8" s="70"/>
      <c r="IN8" s="70"/>
      <c r="IO8" s="70"/>
      <c r="IP8" s="70"/>
      <c r="IQ8" s="70"/>
      <c r="IR8" s="70"/>
      <c r="IS8" s="70"/>
      <c r="IT8" s="70"/>
      <c r="IU8" s="70"/>
      <c r="IV8" s="70"/>
      <c r="IW8" s="70"/>
      <c r="IX8" s="70"/>
      <c r="IY8" s="70"/>
      <c r="IZ8" s="70"/>
      <c r="JA8" s="70"/>
      <c r="JB8" s="70"/>
      <c r="JC8" s="70"/>
      <c r="JD8" s="70"/>
      <c r="JE8" s="70"/>
      <c r="JF8" s="70"/>
      <c r="JG8" s="70"/>
      <c r="JH8" s="70"/>
      <c r="JI8" s="70"/>
      <c r="JJ8" s="70"/>
      <c r="JK8" s="70"/>
      <c r="JL8" s="70"/>
      <c r="JM8" s="70"/>
      <c r="JN8" s="70"/>
      <c r="JO8" s="70"/>
      <c r="JP8" s="70"/>
      <c r="JQ8" s="70"/>
      <c r="JR8" s="70"/>
      <c r="JS8" s="70"/>
      <c r="JT8" s="70"/>
      <c r="JU8" s="70"/>
      <c r="JV8" s="70"/>
      <c r="JW8" s="70"/>
      <c r="JX8" s="70"/>
      <c r="JY8" s="70"/>
      <c r="JZ8" s="70"/>
      <c r="KA8" s="70"/>
      <c r="KB8" s="70"/>
      <c r="KC8" s="70"/>
      <c r="KD8" s="70"/>
      <c r="KE8" s="70"/>
      <c r="KF8" s="70"/>
      <c r="KG8" s="70"/>
      <c r="KH8" s="70"/>
      <c r="KI8" s="70"/>
      <c r="KJ8" s="70"/>
      <c r="KK8" s="70"/>
      <c r="KL8" s="70"/>
      <c r="KM8" s="70"/>
      <c r="KN8" s="70"/>
      <c r="KO8" s="70"/>
      <c r="KP8" s="70"/>
      <c r="KQ8" s="70"/>
      <c r="KR8" s="70"/>
      <c r="KS8" s="70"/>
      <c r="KT8" s="70"/>
      <c r="KU8" s="70"/>
      <c r="KV8" s="70"/>
      <c r="KW8" s="70"/>
      <c r="KX8" s="70"/>
      <c r="KY8" s="70"/>
      <c r="KZ8" s="70"/>
      <c r="LA8" s="70"/>
      <c r="LB8" s="70"/>
      <c r="LC8" s="70"/>
      <c r="LD8" s="70"/>
      <c r="LE8" s="70"/>
      <c r="LF8" s="70"/>
      <c r="LG8" s="70"/>
      <c r="LH8" s="70"/>
      <c r="LI8" s="70"/>
      <c r="LJ8" s="70"/>
      <c r="LK8" s="70"/>
      <c r="LL8" s="70"/>
      <c r="LM8" s="70"/>
      <c r="LN8" s="70"/>
      <c r="LO8" s="70"/>
      <c r="LP8" s="70"/>
      <c r="LQ8" s="70"/>
      <c r="LR8" s="70"/>
      <c r="LS8" s="85"/>
      <c r="LU8" s="8"/>
      <c r="LV8" s="74" t="s">
        <v>95</v>
      </c>
      <c r="LW8" s="74"/>
      <c r="LX8" s="74"/>
      <c r="LY8" s="74"/>
      <c r="LZ8" s="74"/>
      <c r="MA8" s="74"/>
      <c r="MB8" s="74"/>
      <c r="MC8" s="74"/>
      <c r="MD8" s="74"/>
      <c r="ME8" s="74"/>
      <c r="MF8" s="74"/>
      <c r="MG8" s="74"/>
      <c r="MH8" s="74"/>
      <c r="MI8" s="74"/>
      <c r="MJ8" s="74"/>
      <c r="MK8" s="74"/>
      <c r="ML8" s="74"/>
      <c r="MM8" s="74"/>
      <c r="MN8" s="74"/>
      <c r="MO8" s="74"/>
      <c r="MP8" s="74"/>
      <c r="MQ8" s="74"/>
      <c r="MR8" s="74"/>
      <c r="MS8" s="74"/>
      <c r="MT8" s="74"/>
      <c r="MU8" s="74"/>
      <c r="MV8" s="74"/>
      <c r="MW8" s="74"/>
      <c r="MX8" s="74"/>
      <c r="MY8" s="74"/>
      <c r="MZ8" s="74"/>
      <c r="NA8" s="74"/>
      <c r="NB8" s="74"/>
      <c r="NC8" s="74"/>
      <c r="ND8" s="74"/>
      <c r="NE8" s="74"/>
      <c r="NF8" s="74"/>
      <c r="NG8" s="74"/>
      <c r="NH8" s="74"/>
      <c r="NI8" s="74"/>
      <c r="NJ8" s="74"/>
      <c r="NK8" s="74"/>
      <c r="NL8" s="74"/>
      <c r="NM8" s="74"/>
      <c r="NN8" s="74"/>
      <c r="NO8" s="74"/>
      <c r="NP8" s="74"/>
      <c r="NQ8" s="74"/>
      <c r="NR8" s="74"/>
      <c r="NS8" s="74"/>
      <c r="NT8" s="74"/>
      <c r="NU8" s="74"/>
      <c r="NV8" s="74"/>
      <c r="NW8" s="74"/>
      <c r="NX8" s="74"/>
      <c r="NY8" s="74"/>
      <c r="NZ8" s="74"/>
      <c r="OA8" s="74"/>
      <c r="OB8" s="74"/>
      <c r="OC8" s="74"/>
      <c r="OD8" s="74"/>
      <c r="OE8" s="74"/>
      <c r="OF8" s="74"/>
      <c r="OG8" s="74"/>
      <c r="OH8" s="74"/>
      <c r="OI8" s="74"/>
      <c r="OJ8" s="74"/>
      <c r="OK8" s="74"/>
      <c r="OL8" s="74"/>
      <c r="OM8" s="74"/>
      <c r="ON8" s="74"/>
      <c r="OO8" s="74"/>
      <c r="OP8" s="74"/>
      <c r="OQ8" s="74"/>
      <c r="OR8" s="74"/>
      <c r="OS8" s="74"/>
      <c r="OT8" s="74"/>
      <c r="OU8" s="74"/>
      <c r="OV8" s="74"/>
      <c r="OW8" s="74"/>
      <c r="OX8" s="74"/>
      <c r="OY8" s="74"/>
      <c r="OZ8" s="74"/>
      <c r="PA8" s="74"/>
      <c r="PB8" s="74"/>
      <c r="PC8" s="74"/>
      <c r="PD8" s="74"/>
      <c r="PE8" s="74"/>
      <c r="PF8" s="74"/>
      <c r="PG8" s="74"/>
      <c r="PH8" s="74"/>
      <c r="PI8" s="74"/>
      <c r="PJ8" s="74"/>
      <c r="PK8" s="74"/>
      <c r="PL8" s="74"/>
      <c r="PN8" s="8"/>
      <c r="PO8" s="69" t="s">
        <v>95</v>
      </c>
      <c r="PP8" s="70"/>
      <c r="PQ8" s="70"/>
      <c r="PR8" s="70"/>
      <c r="PS8" s="70"/>
      <c r="PT8" s="70"/>
      <c r="PU8" s="70"/>
      <c r="PV8" s="70"/>
      <c r="PW8" s="70"/>
      <c r="PX8" s="70"/>
      <c r="PY8" s="70"/>
      <c r="PZ8" s="70"/>
      <c r="QA8" s="70"/>
      <c r="QB8" s="70"/>
      <c r="QC8" s="70"/>
      <c r="QD8" s="70"/>
      <c r="QE8" s="70"/>
      <c r="QF8" s="70"/>
      <c r="QG8" s="70"/>
      <c r="QH8" s="70"/>
      <c r="QI8" s="70"/>
      <c r="QJ8" s="70"/>
      <c r="QK8" s="70"/>
      <c r="QL8" s="70"/>
      <c r="QM8" s="70"/>
      <c r="QN8" s="70"/>
      <c r="QO8" s="70"/>
      <c r="QP8" s="70"/>
      <c r="QQ8" s="70"/>
      <c r="QR8" s="70"/>
      <c r="QS8" s="70"/>
      <c r="QT8" s="70"/>
      <c r="QU8" s="70"/>
      <c r="QV8" s="70"/>
      <c r="QW8" s="70"/>
      <c r="QX8" s="70"/>
      <c r="QY8" s="70"/>
      <c r="QZ8" s="70"/>
      <c r="RA8" s="70"/>
      <c r="RB8" s="70"/>
      <c r="RC8" s="70"/>
      <c r="RD8" s="70"/>
      <c r="RE8" s="70"/>
      <c r="RF8" s="70"/>
      <c r="RG8" s="70"/>
      <c r="RH8" s="70"/>
      <c r="RI8" s="70"/>
      <c r="RJ8" s="70"/>
      <c r="RK8" s="70"/>
      <c r="RL8" s="70"/>
      <c r="RM8" s="70"/>
      <c r="RN8" s="70"/>
      <c r="RO8" s="70"/>
      <c r="RP8" s="70"/>
      <c r="RQ8" s="70"/>
      <c r="RR8" s="70"/>
      <c r="RS8" s="70"/>
      <c r="RT8" s="70"/>
      <c r="RU8" s="70"/>
      <c r="RV8" s="70"/>
      <c r="RW8" s="70"/>
      <c r="RX8" s="70"/>
      <c r="RY8" s="70"/>
      <c r="RZ8" s="70"/>
      <c r="SA8" s="70"/>
      <c r="SB8" s="70"/>
      <c r="SC8" s="70"/>
      <c r="SD8" s="70"/>
      <c r="SE8" s="70"/>
      <c r="SF8" s="70"/>
      <c r="SG8" s="70"/>
      <c r="SH8" s="70"/>
      <c r="SI8" s="70"/>
      <c r="SJ8" s="70"/>
      <c r="SK8" s="70"/>
      <c r="SL8" s="70"/>
      <c r="SM8" s="70"/>
      <c r="SN8" s="70"/>
      <c r="SO8" s="70"/>
      <c r="SP8" s="85"/>
    </row>
    <row r="9" spans="1:510" s="2" customFormat="1" ht="64.900000000000006" customHeight="1" x14ac:dyDescent="0.25">
      <c r="A9" s="77" t="s">
        <v>15</v>
      </c>
      <c r="B9" s="76" t="s">
        <v>73</v>
      </c>
      <c r="C9" s="76"/>
      <c r="D9" s="76"/>
      <c r="E9" s="76"/>
      <c r="F9" s="76"/>
      <c r="H9" s="77" t="s">
        <v>15</v>
      </c>
      <c r="I9" s="76" t="s">
        <v>74</v>
      </c>
      <c r="J9" s="76"/>
      <c r="K9" s="76"/>
      <c r="L9" s="76"/>
      <c r="M9" s="76"/>
      <c r="O9" s="77" t="s">
        <v>15</v>
      </c>
      <c r="P9" s="76" t="s">
        <v>75</v>
      </c>
      <c r="Q9" s="76"/>
      <c r="R9" s="76"/>
      <c r="S9" s="76"/>
      <c r="T9" s="76"/>
      <c r="V9" s="77" t="s">
        <v>15</v>
      </c>
      <c r="W9" s="80" t="s">
        <v>132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7"/>
      <c r="BB9" s="77" t="s">
        <v>15</v>
      </c>
      <c r="BC9" s="80" t="s">
        <v>133</v>
      </c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87"/>
      <c r="CH9" s="77" t="s">
        <v>15</v>
      </c>
      <c r="CI9" s="80" t="s">
        <v>134</v>
      </c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87"/>
      <c r="DN9" s="77" t="s">
        <v>15</v>
      </c>
      <c r="DO9" s="76" t="s">
        <v>135</v>
      </c>
      <c r="DP9" s="76"/>
      <c r="DQ9" s="76"/>
      <c r="DR9" s="76"/>
      <c r="DS9" s="76"/>
      <c r="DU9" s="77" t="s">
        <v>15</v>
      </c>
      <c r="DV9" s="76" t="s">
        <v>136</v>
      </c>
      <c r="DW9" s="76"/>
      <c r="DX9" s="76"/>
      <c r="DY9" s="76"/>
      <c r="DZ9" s="76"/>
      <c r="EB9" s="77" t="s">
        <v>15</v>
      </c>
      <c r="EC9" s="76" t="s">
        <v>137</v>
      </c>
      <c r="ED9" s="76"/>
      <c r="EE9" s="76"/>
      <c r="EF9" s="76"/>
      <c r="EG9" s="76"/>
      <c r="EI9" s="77" t="s">
        <v>15</v>
      </c>
      <c r="EJ9" s="76" t="s">
        <v>138</v>
      </c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  <c r="HN9" s="76"/>
      <c r="HO9" s="76"/>
      <c r="HP9" s="76"/>
      <c r="HQ9" s="76"/>
      <c r="HR9" s="76"/>
      <c r="HS9" s="76"/>
      <c r="HT9" s="76"/>
      <c r="HU9" s="76"/>
      <c r="HV9" s="76"/>
      <c r="HW9" s="76"/>
      <c r="HX9" s="76"/>
      <c r="HY9" s="76"/>
      <c r="HZ9" s="76"/>
      <c r="IB9" s="77" t="s">
        <v>15</v>
      </c>
      <c r="IC9" s="80" t="s">
        <v>139</v>
      </c>
      <c r="ID9" s="75"/>
      <c r="IE9" s="75"/>
      <c r="IF9" s="75"/>
      <c r="IG9" s="75"/>
      <c r="IH9" s="75"/>
      <c r="II9" s="75"/>
      <c r="IJ9" s="75"/>
      <c r="IK9" s="75"/>
      <c r="IL9" s="75"/>
      <c r="IM9" s="75"/>
      <c r="IN9" s="75"/>
      <c r="IO9" s="75"/>
      <c r="IP9" s="75"/>
      <c r="IQ9" s="75"/>
      <c r="IR9" s="75"/>
      <c r="IS9" s="75"/>
      <c r="IT9" s="75"/>
      <c r="IU9" s="75"/>
      <c r="IV9" s="75"/>
      <c r="IW9" s="75"/>
      <c r="IX9" s="75"/>
      <c r="IY9" s="75"/>
      <c r="IZ9" s="75"/>
      <c r="JA9" s="75"/>
      <c r="JB9" s="75"/>
      <c r="JC9" s="75"/>
      <c r="JD9" s="75"/>
      <c r="JE9" s="75"/>
      <c r="JF9" s="75"/>
      <c r="JG9" s="75"/>
      <c r="JH9" s="75"/>
      <c r="JI9" s="75"/>
      <c r="JJ9" s="75"/>
      <c r="JK9" s="75"/>
      <c r="JL9" s="75"/>
      <c r="JM9" s="75"/>
      <c r="JN9" s="75"/>
      <c r="JO9" s="75"/>
      <c r="JP9" s="75"/>
      <c r="JQ9" s="75"/>
      <c r="JR9" s="75"/>
      <c r="JS9" s="75"/>
      <c r="JT9" s="75"/>
      <c r="JU9" s="75"/>
      <c r="JV9" s="75"/>
      <c r="JW9" s="75"/>
      <c r="JX9" s="75"/>
      <c r="JY9" s="75"/>
      <c r="JZ9" s="75"/>
      <c r="KA9" s="75"/>
      <c r="KB9" s="75"/>
      <c r="KC9" s="75"/>
      <c r="KD9" s="75"/>
      <c r="KE9" s="75"/>
      <c r="KF9" s="75"/>
      <c r="KG9" s="75"/>
      <c r="KH9" s="75"/>
      <c r="KI9" s="75"/>
      <c r="KJ9" s="75"/>
      <c r="KK9" s="75"/>
      <c r="KL9" s="75"/>
      <c r="KM9" s="75"/>
      <c r="KN9" s="75"/>
      <c r="KO9" s="75"/>
      <c r="KP9" s="75"/>
      <c r="KQ9" s="75"/>
      <c r="KR9" s="75"/>
      <c r="KS9" s="75"/>
      <c r="KT9" s="75"/>
      <c r="KU9" s="75"/>
      <c r="KV9" s="75"/>
      <c r="KW9" s="75"/>
      <c r="KX9" s="75"/>
      <c r="KY9" s="75"/>
      <c r="KZ9" s="75"/>
      <c r="LA9" s="75"/>
      <c r="LB9" s="75"/>
      <c r="LC9" s="75"/>
      <c r="LD9" s="75"/>
      <c r="LE9" s="75"/>
      <c r="LF9" s="75"/>
      <c r="LG9" s="75"/>
      <c r="LH9" s="75"/>
      <c r="LI9" s="75"/>
      <c r="LJ9" s="75"/>
      <c r="LK9" s="75"/>
      <c r="LL9" s="75"/>
      <c r="LM9" s="75"/>
      <c r="LN9" s="75"/>
      <c r="LO9" s="75"/>
      <c r="LP9" s="75"/>
      <c r="LQ9" s="75"/>
      <c r="LR9" s="75"/>
      <c r="LS9" s="87"/>
      <c r="LU9" s="77" t="s">
        <v>15</v>
      </c>
      <c r="LV9" s="76" t="s">
        <v>140</v>
      </c>
      <c r="LW9" s="76"/>
      <c r="LX9" s="76"/>
      <c r="LY9" s="76"/>
      <c r="LZ9" s="76"/>
      <c r="MA9" s="76"/>
      <c r="MB9" s="76"/>
      <c r="MC9" s="76"/>
      <c r="MD9" s="76"/>
      <c r="ME9" s="76"/>
      <c r="MF9" s="76"/>
      <c r="MG9" s="76"/>
      <c r="MH9" s="76"/>
      <c r="MI9" s="76"/>
      <c r="MJ9" s="76"/>
      <c r="MK9" s="76"/>
      <c r="ML9" s="76"/>
      <c r="MM9" s="76"/>
      <c r="MN9" s="76"/>
      <c r="MO9" s="76"/>
      <c r="MP9" s="76"/>
      <c r="MQ9" s="76"/>
      <c r="MR9" s="76"/>
      <c r="MS9" s="76"/>
      <c r="MT9" s="76"/>
      <c r="MU9" s="76"/>
      <c r="MV9" s="76"/>
      <c r="MW9" s="76"/>
      <c r="MX9" s="76"/>
      <c r="MY9" s="76"/>
      <c r="MZ9" s="76"/>
      <c r="NA9" s="76"/>
      <c r="NB9" s="76"/>
      <c r="NC9" s="76"/>
      <c r="ND9" s="76"/>
      <c r="NE9" s="76"/>
      <c r="NF9" s="76"/>
      <c r="NG9" s="76"/>
      <c r="NH9" s="76"/>
      <c r="NI9" s="76"/>
      <c r="NJ9" s="76"/>
      <c r="NK9" s="76"/>
      <c r="NL9" s="76"/>
      <c r="NM9" s="76"/>
      <c r="NN9" s="76"/>
      <c r="NO9" s="76"/>
      <c r="NP9" s="76"/>
      <c r="NQ9" s="76"/>
      <c r="NR9" s="76"/>
      <c r="NS9" s="76"/>
      <c r="NT9" s="76"/>
      <c r="NU9" s="76"/>
      <c r="NV9" s="76"/>
      <c r="NW9" s="76"/>
      <c r="NX9" s="76"/>
      <c r="NY9" s="76"/>
      <c r="NZ9" s="76"/>
      <c r="OA9" s="76"/>
      <c r="OB9" s="76"/>
      <c r="OC9" s="76"/>
      <c r="OD9" s="76"/>
      <c r="OE9" s="76"/>
      <c r="OF9" s="76"/>
      <c r="OG9" s="76"/>
      <c r="OH9" s="76"/>
      <c r="OI9" s="76"/>
      <c r="OJ9" s="76"/>
      <c r="OK9" s="76"/>
      <c r="OL9" s="76"/>
      <c r="OM9" s="76"/>
      <c r="ON9" s="76"/>
      <c r="OO9" s="76"/>
      <c r="OP9" s="76"/>
      <c r="OQ9" s="76"/>
      <c r="OR9" s="76"/>
      <c r="OS9" s="76"/>
      <c r="OT9" s="76"/>
      <c r="OU9" s="76"/>
      <c r="OV9" s="76"/>
      <c r="OW9" s="76"/>
      <c r="OX9" s="76"/>
      <c r="OY9" s="76"/>
      <c r="OZ9" s="76"/>
      <c r="PA9" s="76"/>
      <c r="PB9" s="76"/>
      <c r="PC9" s="76"/>
      <c r="PD9" s="76"/>
      <c r="PE9" s="76"/>
      <c r="PF9" s="76"/>
      <c r="PG9" s="76"/>
      <c r="PH9" s="76"/>
      <c r="PI9" s="76"/>
      <c r="PJ9" s="76"/>
      <c r="PK9" s="76"/>
      <c r="PL9" s="76"/>
      <c r="PN9" s="77" t="s">
        <v>15</v>
      </c>
      <c r="PO9" s="69" t="s">
        <v>141</v>
      </c>
      <c r="PP9" s="70"/>
      <c r="PQ9" s="70"/>
      <c r="PR9" s="70"/>
      <c r="PS9" s="70"/>
      <c r="PT9" s="70"/>
      <c r="PU9" s="70"/>
      <c r="PV9" s="70"/>
      <c r="PW9" s="70"/>
      <c r="PX9" s="70"/>
      <c r="PY9" s="70"/>
      <c r="PZ9" s="70"/>
      <c r="QA9" s="70"/>
      <c r="QB9" s="70"/>
      <c r="QC9" s="70"/>
      <c r="QD9" s="70"/>
      <c r="QE9" s="70"/>
      <c r="QF9" s="70"/>
      <c r="QG9" s="70"/>
      <c r="QH9" s="70"/>
      <c r="QI9" s="70"/>
      <c r="QJ9" s="70"/>
      <c r="QK9" s="70"/>
      <c r="QL9" s="70"/>
      <c r="QM9" s="70"/>
      <c r="QN9" s="70"/>
      <c r="QO9" s="70"/>
      <c r="QP9" s="70"/>
      <c r="QQ9" s="70"/>
      <c r="QR9" s="70"/>
      <c r="QS9" s="70"/>
      <c r="QT9" s="70"/>
      <c r="QU9" s="70"/>
      <c r="QV9" s="70"/>
      <c r="QW9" s="70"/>
      <c r="QX9" s="70"/>
      <c r="QY9" s="70"/>
      <c r="QZ9" s="70"/>
      <c r="RA9" s="70"/>
      <c r="RB9" s="70"/>
      <c r="RC9" s="70"/>
      <c r="RD9" s="70"/>
      <c r="RE9" s="70"/>
      <c r="RF9" s="70"/>
      <c r="RG9" s="70"/>
      <c r="RH9" s="70"/>
      <c r="RI9" s="70"/>
      <c r="RJ9" s="70"/>
      <c r="RK9" s="70"/>
      <c r="RL9" s="70"/>
      <c r="RM9" s="70"/>
      <c r="RN9" s="70"/>
      <c r="RO9" s="70"/>
      <c r="RP9" s="70"/>
      <c r="RQ9" s="70"/>
      <c r="RR9" s="70"/>
      <c r="RS9" s="70"/>
      <c r="RT9" s="70"/>
      <c r="RU9" s="70"/>
      <c r="RV9" s="70"/>
      <c r="RW9" s="70"/>
      <c r="RX9" s="70"/>
      <c r="RY9" s="70"/>
      <c r="RZ9" s="70"/>
      <c r="SA9" s="70"/>
      <c r="SB9" s="70"/>
      <c r="SC9" s="70"/>
      <c r="SD9" s="70"/>
      <c r="SE9" s="70"/>
      <c r="SF9" s="70"/>
      <c r="SG9" s="70"/>
      <c r="SH9" s="70"/>
      <c r="SI9" s="70"/>
      <c r="SJ9" s="70"/>
      <c r="SK9" s="70"/>
      <c r="SL9" s="70"/>
      <c r="SM9" s="70"/>
      <c r="SN9" s="70"/>
      <c r="SO9" s="70"/>
      <c r="SP9" s="85"/>
    </row>
    <row r="10" spans="1:510" s="2" customFormat="1" ht="30.6" customHeight="1" x14ac:dyDescent="0.25">
      <c r="A10" s="78"/>
      <c r="B10" s="69" t="s">
        <v>30</v>
      </c>
      <c r="C10" s="70"/>
      <c r="D10" s="70"/>
      <c r="E10" s="70"/>
      <c r="F10" s="85"/>
      <c r="H10" s="78"/>
      <c r="I10" s="69" t="s">
        <v>30</v>
      </c>
      <c r="J10" s="70"/>
      <c r="K10" s="70"/>
      <c r="L10" s="70"/>
      <c r="M10" s="85"/>
      <c r="O10" s="78"/>
      <c r="P10" s="69" t="s">
        <v>30</v>
      </c>
      <c r="Q10" s="70"/>
      <c r="R10" s="70"/>
      <c r="S10" s="70"/>
      <c r="T10" s="85"/>
      <c r="V10" s="78"/>
      <c r="W10" s="69" t="s">
        <v>71</v>
      </c>
      <c r="X10" s="70"/>
      <c r="Y10" s="70"/>
      <c r="Z10" s="70"/>
      <c r="AA10" s="85"/>
      <c r="AB10" s="69" t="s">
        <v>84</v>
      </c>
      <c r="AC10" s="70"/>
      <c r="AD10" s="70"/>
      <c r="AE10" s="70"/>
      <c r="AF10" s="85"/>
      <c r="AG10" s="69" t="s">
        <v>90</v>
      </c>
      <c r="AH10" s="70"/>
      <c r="AI10" s="70"/>
      <c r="AJ10" s="70"/>
      <c r="AK10" s="85"/>
      <c r="AL10" s="69" t="s">
        <v>77</v>
      </c>
      <c r="AM10" s="70"/>
      <c r="AN10" s="70"/>
      <c r="AO10" s="70"/>
      <c r="AP10" s="85"/>
      <c r="AQ10" s="69" t="s">
        <v>72</v>
      </c>
      <c r="AR10" s="70"/>
      <c r="AS10" s="70"/>
      <c r="AT10" s="70"/>
      <c r="AU10" s="85"/>
      <c r="AV10" s="69" t="s">
        <v>26</v>
      </c>
      <c r="AW10" s="70"/>
      <c r="AX10" s="70"/>
      <c r="AY10" s="70"/>
      <c r="AZ10" s="85"/>
      <c r="BB10" s="78"/>
      <c r="BC10" s="69" t="s">
        <v>45</v>
      </c>
      <c r="BD10" s="70"/>
      <c r="BE10" s="70"/>
      <c r="BF10" s="70"/>
      <c r="BG10" s="85"/>
      <c r="BH10" s="69" t="s">
        <v>84</v>
      </c>
      <c r="BI10" s="70"/>
      <c r="BJ10" s="70"/>
      <c r="BK10" s="70"/>
      <c r="BL10" s="85"/>
      <c r="BM10" s="69" t="s">
        <v>44</v>
      </c>
      <c r="BN10" s="70"/>
      <c r="BO10" s="70"/>
      <c r="BP10" s="70"/>
      <c r="BQ10" s="85"/>
      <c r="BR10" s="69" t="s">
        <v>91</v>
      </c>
      <c r="BS10" s="70"/>
      <c r="BT10" s="70"/>
      <c r="BU10" s="70"/>
      <c r="BV10" s="85"/>
      <c r="BW10" s="69" t="s">
        <v>72</v>
      </c>
      <c r="BX10" s="70"/>
      <c r="BY10" s="70"/>
      <c r="BZ10" s="70"/>
      <c r="CA10" s="85"/>
      <c r="CB10" s="69" t="s">
        <v>79</v>
      </c>
      <c r="CC10" s="70"/>
      <c r="CD10" s="70"/>
      <c r="CE10" s="70"/>
      <c r="CF10" s="85"/>
      <c r="CH10" s="78"/>
      <c r="CI10" s="69" t="s">
        <v>45</v>
      </c>
      <c r="CJ10" s="70"/>
      <c r="CK10" s="70"/>
      <c r="CL10" s="70"/>
      <c r="CM10" s="85"/>
      <c r="CN10" s="69" t="s">
        <v>84</v>
      </c>
      <c r="CO10" s="70"/>
      <c r="CP10" s="70"/>
      <c r="CQ10" s="70"/>
      <c r="CR10" s="85"/>
      <c r="CS10" s="69" t="s">
        <v>46</v>
      </c>
      <c r="CT10" s="70"/>
      <c r="CU10" s="70"/>
      <c r="CV10" s="70"/>
      <c r="CW10" s="85"/>
      <c r="CX10" s="69" t="s">
        <v>92</v>
      </c>
      <c r="CY10" s="70"/>
      <c r="CZ10" s="70"/>
      <c r="DA10" s="70"/>
      <c r="DB10" s="85"/>
      <c r="DC10" s="69" t="s">
        <v>93</v>
      </c>
      <c r="DD10" s="70"/>
      <c r="DE10" s="70"/>
      <c r="DF10" s="70"/>
      <c r="DG10" s="85"/>
      <c r="DH10" s="69" t="s">
        <v>26</v>
      </c>
      <c r="DI10" s="70"/>
      <c r="DJ10" s="70"/>
      <c r="DK10" s="70"/>
      <c r="DL10" s="85"/>
      <c r="DN10" s="78"/>
      <c r="DO10" s="69" t="s">
        <v>47</v>
      </c>
      <c r="DP10" s="70"/>
      <c r="DQ10" s="70"/>
      <c r="DR10" s="70"/>
      <c r="DS10" s="85"/>
      <c r="DU10" s="78"/>
      <c r="DV10" s="69" t="s">
        <v>48</v>
      </c>
      <c r="DW10" s="70"/>
      <c r="DX10" s="70"/>
      <c r="DY10" s="70"/>
      <c r="DZ10" s="85"/>
      <c r="EB10" s="78"/>
      <c r="EC10" s="69" t="s">
        <v>47</v>
      </c>
      <c r="ED10" s="70"/>
      <c r="EE10" s="70"/>
      <c r="EF10" s="70"/>
      <c r="EG10" s="85"/>
      <c r="EI10" s="78"/>
      <c r="EJ10" s="69" t="s">
        <v>34</v>
      </c>
      <c r="EK10" s="70"/>
      <c r="EL10" s="70"/>
      <c r="EM10" s="70"/>
      <c r="EN10" s="85"/>
      <c r="EO10" s="69" t="s">
        <v>22</v>
      </c>
      <c r="EP10" s="70"/>
      <c r="EQ10" s="70"/>
      <c r="ER10" s="70"/>
      <c r="ES10" s="85"/>
      <c r="ET10" s="69" t="s">
        <v>23</v>
      </c>
      <c r="EU10" s="70"/>
      <c r="EV10" s="70"/>
      <c r="EW10" s="70"/>
      <c r="EX10" s="85"/>
      <c r="EY10" s="69" t="s">
        <v>71</v>
      </c>
      <c r="EZ10" s="70"/>
      <c r="FA10" s="70"/>
      <c r="FB10" s="70"/>
      <c r="FC10" s="85"/>
      <c r="FD10" s="69" t="s">
        <v>39</v>
      </c>
      <c r="FE10" s="70"/>
      <c r="FF10" s="70"/>
      <c r="FG10" s="70"/>
      <c r="FH10" s="85"/>
      <c r="FI10" s="69" t="s">
        <v>122</v>
      </c>
      <c r="FJ10" s="70"/>
      <c r="FK10" s="70"/>
      <c r="FL10" s="70"/>
      <c r="FM10" s="85"/>
      <c r="FN10" s="69" t="s">
        <v>124</v>
      </c>
      <c r="FO10" s="70"/>
      <c r="FP10" s="70"/>
      <c r="FQ10" s="70"/>
      <c r="FR10" s="85"/>
      <c r="FS10" s="69" t="s">
        <v>123</v>
      </c>
      <c r="FT10" s="70"/>
      <c r="FU10" s="70"/>
      <c r="FV10" s="70"/>
      <c r="FW10" s="85"/>
      <c r="FX10" s="69" t="s">
        <v>76</v>
      </c>
      <c r="FY10" s="70"/>
      <c r="FZ10" s="70"/>
      <c r="GA10" s="70"/>
      <c r="GB10" s="85"/>
      <c r="GC10" s="69" t="s">
        <v>35</v>
      </c>
      <c r="GD10" s="70"/>
      <c r="GE10" s="70"/>
      <c r="GF10" s="70"/>
      <c r="GG10" s="85"/>
      <c r="GH10" s="69" t="s">
        <v>87</v>
      </c>
      <c r="GI10" s="70"/>
      <c r="GJ10" s="70"/>
      <c r="GK10" s="70"/>
      <c r="GL10" s="85"/>
      <c r="GM10" s="69" t="s">
        <v>77</v>
      </c>
      <c r="GN10" s="70"/>
      <c r="GO10" s="70"/>
      <c r="GP10" s="70"/>
      <c r="GQ10" s="85"/>
      <c r="GR10" s="69" t="s">
        <v>36</v>
      </c>
      <c r="GS10" s="70"/>
      <c r="GT10" s="70"/>
      <c r="GU10" s="70"/>
      <c r="GV10" s="85"/>
      <c r="GW10" s="69" t="s">
        <v>72</v>
      </c>
      <c r="GX10" s="70"/>
      <c r="GY10" s="70"/>
      <c r="GZ10" s="70"/>
      <c r="HA10" s="85"/>
      <c r="HB10" s="69" t="s">
        <v>78</v>
      </c>
      <c r="HC10" s="70"/>
      <c r="HD10" s="70"/>
      <c r="HE10" s="70"/>
      <c r="HF10" s="85"/>
      <c r="HG10" s="69" t="s">
        <v>79</v>
      </c>
      <c r="HH10" s="70"/>
      <c r="HI10" s="70"/>
      <c r="HJ10" s="70"/>
      <c r="HK10" s="85"/>
      <c r="HL10" s="69" t="s">
        <v>120</v>
      </c>
      <c r="HM10" s="70"/>
      <c r="HN10" s="70"/>
      <c r="HO10" s="70"/>
      <c r="HP10" s="85"/>
      <c r="HQ10" s="69" t="s">
        <v>121</v>
      </c>
      <c r="HR10" s="70"/>
      <c r="HS10" s="70"/>
      <c r="HT10" s="70"/>
      <c r="HU10" s="85"/>
      <c r="HV10" s="69" t="s">
        <v>56</v>
      </c>
      <c r="HW10" s="70"/>
      <c r="HX10" s="70"/>
      <c r="HY10" s="70"/>
      <c r="HZ10" s="85"/>
      <c r="IB10" s="78"/>
      <c r="IC10" s="69" t="s">
        <v>82</v>
      </c>
      <c r="ID10" s="70"/>
      <c r="IE10" s="70"/>
      <c r="IF10" s="70"/>
      <c r="IG10" s="85"/>
      <c r="IH10" s="69" t="s">
        <v>22</v>
      </c>
      <c r="II10" s="70"/>
      <c r="IJ10" s="70"/>
      <c r="IK10" s="70"/>
      <c r="IL10" s="85"/>
      <c r="IM10" s="69" t="s">
        <v>23</v>
      </c>
      <c r="IN10" s="70"/>
      <c r="IO10" s="70"/>
      <c r="IP10" s="70"/>
      <c r="IQ10" s="85"/>
      <c r="IR10" s="69" t="s">
        <v>37</v>
      </c>
      <c r="IS10" s="70"/>
      <c r="IT10" s="70"/>
      <c r="IU10" s="70"/>
      <c r="IV10" s="85"/>
      <c r="IW10" s="69" t="s">
        <v>39</v>
      </c>
      <c r="IX10" s="70"/>
      <c r="IY10" s="70"/>
      <c r="IZ10" s="70"/>
      <c r="JA10" s="85"/>
      <c r="JB10" s="69" t="s">
        <v>122</v>
      </c>
      <c r="JC10" s="70"/>
      <c r="JD10" s="70"/>
      <c r="JE10" s="70"/>
      <c r="JF10" s="85"/>
      <c r="JG10" s="69" t="s">
        <v>124</v>
      </c>
      <c r="JH10" s="70"/>
      <c r="JI10" s="70"/>
      <c r="JJ10" s="70"/>
      <c r="JK10" s="85"/>
      <c r="JL10" s="69" t="s">
        <v>127</v>
      </c>
      <c r="JM10" s="70"/>
      <c r="JN10" s="70"/>
      <c r="JO10" s="70"/>
      <c r="JP10" s="85"/>
      <c r="JQ10" s="69" t="s">
        <v>88</v>
      </c>
      <c r="JR10" s="70"/>
      <c r="JS10" s="70"/>
      <c r="JT10" s="70"/>
      <c r="JU10" s="85"/>
      <c r="JV10" s="69" t="s">
        <v>80</v>
      </c>
      <c r="JW10" s="70"/>
      <c r="JX10" s="70"/>
      <c r="JY10" s="70"/>
      <c r="JZ10" s="85"/>
      <c r="KA10" s="69" t="s">
        <v>38</v>
      </c>
      <c r="KB10" s="70"/>
      <c r="KC10" s="70"/>
      <c r="KD10" s="70"/>
      <c r="KE10" s="85"/>
      <c r="KF10" s="69" t="s">
        <v>89</v>
      </c>
      <c r="KG10" s="70"/>
      <c r="KH10" s="70"/>
      <c r="KI10" s="70"/>
      <c r="KJ10" s="85"/>
      <c r="KK10" s="69" t="s">
        <v>81</v>
      </c>
      <c r="KL10" s="70"/>
      <c r="KM10" s="70"/>
      <c r="KN10" s="70"/>
      <c r="KO10" s="85"/>
      <c r="KP10" s="69" t="s">
        <v>72</v>
      </c>
      <c r="KQ10" s="70"/>
      <c r="KR10" s="70"/>
      <c r="KS10" s="70"/>
      <c r="KT10" s="85"/>
      <c r="KU10" s="69" t="s">
        <v>43</v>
      </c>
      <c r="KV10" s="70"/>
      <c r="KW10" s="70"/>
      <c r="KX10" s="70"/>
      <c r="KY10" s="85"/>
      <c r="KZ10" s="69" t="s">
        <v>79</v>
      </c>
      <c r="LA10" s="70"/>
      <c r="LB10" s="70"/>
      <c r="LC10" s="70"/>
      <c r="LD10" s="85"/>
      <c r="LE10" s="69" t="s">
        <v>125</v>
      </c>
      <c r="LF10" s="70"/>
      <c r="LG10" s="70"/>
      <c r="LH10" s="70"/>
      <c r="LI10" s="85"/>
      <c r="LJ10" s="69" t="s">
        <v>126</v>
      </c>
      <c r="LK10" s="70"/>
      <c r="LL10" s="70"/>
      <c r="LM10" s="70"/>
      <c r="LN10" s="85"/>
      <c r="LO10" s="69" t="s">
        <v>56</v>
      </c>
      <c r="LP10" s="70"/>
      <c r="LQ10" s="70"/>
      <c r="LR10" s="70"/>
      <c r="LS10" s="85"/>
      <c r="LU10" s="78"/>
      <c r="LV10" s="69" t="s">
        <v>34</v>
      </c>
      <c r="LW10" s="70"/>
      <c r="LX10" s="70"/>
      <c r="LY10" s="70"/>
      <c r="LZ10" s="85"/>
      <c r="MA10" s="69" t="s">
        <v>22</v>
      </c>
      <c r="MB10" s="70"/>
      <c r="MC10" s="70"/>
      <c r="MD10" s="70"/>
      <c r="ME10" s="85"/>
      <c r="MF10" s="69" t="s">
        <v>23</v>
      </c>
      <c r="MG10" s="70"/>
      <c r="MH10" s="70"/>
      <c r="MI10" s="70"/>
      <c r="MJ10" s="85"/>
      <c r="MK10" s="69" t="s">
        <v>71</v>
      </c>
      <c r="ML10" s="70"/>
      <c r="MM10" s="70"/>
      <c r="MN10" s="70"/>
      <c r="MO10" s="85"/>
      <c r="MP10" s="69" t="s">
        <v>39</v>
      </c>
      <c r="MQ10" s="70"/>
      <c r="MR10" s="70"/>
      <c r="MS10" s="70"/>
      <c r="MT10" s="85"/>
      <c r="MU10" s="69" t="s">
        <v>122</v>
      </c>
      <c r="MV10" s="70"/>
      <c r="MW10" s="70"/>
      <c r="MX10" s="70"/>
      <c r="MY10" s="85"/>
      <c r="MZ10" s="69" t="s">
        <v>124</v>
      </c>
      <c r="NA10" s="70"/>
      <c r="NB10" s="70"/>
      <c r="NC10" s="70"/>
      <c r="ND10" s="85"/>
      <c r="NE10" s="69" t="s">
        <v>130</v>
      </c>
      <c r="NF10" s="70"/>
      <c r="NG10" s="70"/>
      <c r="NH10" s="70"/>
      <c r="NI10" s="85"/>
      <c r="NJ10" s="69" t="s">
        <v>40</v>
      </c>
      <c r="NK10" s="70"/>
      <c r="NL10" s="70"/>
      <c r="NM10" s="70"/>
      <c r="NN10" s="85"/>
      <c r="NO10" s="69" t="s">
        <v>54</v>
      </c>
      <c r="NP10" s="70"/>
      <c r="NQ10" s="70"/>
      <c r="NR10" s="70"/>
      <c r="NS10" s="85"/>
      <c r="NT10" s="69" t="s">
        <v>41</v>
      </c>
      <c r="NU10" s="70"/>
      <c r="NV10" s="70"/>
      <c r="NW10" s="70"/>
      <c r="NX10" s="85"/>
      <c r="NY10" s="69" t="s">
        <v>42</v>
      </c>
      <c r="NZ10" s="70"/>
      <c r="OA10" s="70"/>
      <c r="OB10" s="70"/>
      <c r="OC10" s="85"/>
      <c r="OD10" s="69" t="s">
        <v>81</v>
      </c>
      <c r="OE10" s="70"/>
      <c r="OF10" s="70"/>
      <c r="OG10" s="70"/>
      <c r="OH10" s="85"/>
      <c r="OI10" s="69" t="s">
        <v>72</v>
      </c>
      <c r="OJ10" s="70"/>
      <c r="OK10" s="70"/>
      <c r="OL10" s="70"/>
      <c r="OM10" s="85"/>
      <c r="ON10" s="69" t="s">
        <v>43</v>
      </c>
      <c r="OO10" s="70"/>
      <c r="OP10" s="70"/>
      <c r="OQ10" s="70"/>
      <c r="OR10" s="85"/>
      <c r="OS10" s="69" t="s">
        <v>55</v>
      </c>
      <c r="OT10" s="70"/>
      <c r="OU10" s="70"/>
      <c r="OV10" s="70"/>
      <c r="OW10" s="85"/>
      <c r="OX10" s="69" t="s">
        <v>128</v>
      </c>
      <c r="OY10" s="70"/>
      <c r="OZ10" s="70"/>
      <c r="PA10" s="70"/>
      <c r="PB10" s="85"/>
      <c r="PC10" s="69" t="s">
        <v>129</v>
      </c>
      <c r="PD10" s="70"/>
      <c r="PE10" s="70"/>
      <c r="PF10" s="70"/>
      <c r="PG10" s="85"/>
      <c r="PH10" s="69" t="s">
        <v>56</v>
      </c>
      <c r="PI10" s="70"/>
      <c r="PJ10" s="70"/>
      <c r="PK10" s="70"/>
      <c r="PL10" s="85"/>
      <c r="PN10" s="78"/>
      <c r="PO10" s="69" t="s">
        <v>83</v>
      </c>
      <c r="PP10" s="70"/>
      <c r="PQ10" s="70"/>
      <c r="PR10" s="70"/>
      <c r="PS10" s="85"/>
      <c r="PT10" s="69" t="s">
        <v>22</v>
      </c>
      <c r="PU10" s="70"/>
      <c r="PV10" s="70"/>
      <c r="PW10" s="70"/>
      <c r="PX10" s="85"/>
      <c r="PY10" s="69" t="s">
        <v>23</v>
      </c>
      <c r="PZ10" s="70"/>
      <c r="QA10" s="70"/>
      <c r="QB10" s="70"/>
      <c r="QC10" s="85"/>
      <c r="QD10" s="69" t="s">
        <v>71</v>
      </c>
      <c r="QE10" s="70"/>
      <c r="QF10" s="70"/>
      <c r="QG10" s="70"/>
      <c r="QH10" s="85"/>
      <c r="QI10" s="69" t="s">
        <v>39</v>
      </c>
      <c r="QJ10" s="70"/>
      <c r="QK10" s="70"/>
      <c r="QL10" s="70"/>
      <c r="QM10" s="85"/>
      <c r="QN10" s="69" t="s">
        <v>84</v>
      </c>
      <c r="QO10" s="70"/>
      <c r="QP10" s="70"/>
      <c r="QQ10" s="70"/>
      <c r="QR10" s="85"/>
      <c r="QS10" s="69" t="s">
        <v>76</v>
      </c>
      <c r="QT10" s="70"/>
      <c r="QU10" s="70"/>
      <c r="QV10" s="70"/>
      <c r="QW10" s="85"/>
      <c r="QX10" s="69" t="s">
        <v>80</v>
      </c>
      <c r="QY10" s="70"/>
      <c r="QZ10" s="70"/>
      <c r="RA10" s="70"/>
      <c r="RB10" s="85"/>
      <c r="RC10" s="69" t="s">
        <v>85</v>
      </c>
      <c r="RD10" s="70"/>
      <c r="RE10" s="70"/>
      <c r="RF10" s="70"/>
      <c r="RG10" s="85"/>
      <c r="RH10" s="69" t="s">
        <v>77</v>
      </c>
      <c r="RI10" s="70"/>
      <c r="RJ10" s="70"/>
      <c r="RK10" s="70"/>
      <c r="RL10" s="85"/>
      <c r="RM10" s="69" t="s">
        <v>81</v>
      </c>
      <c r="RN10" s="70"/>
      <c r="RO10" s="70"/>
      <c r="RP10" s="70"/>
      <c r="RQ10" s="85"/>
      <c r="RR10" s="69" t="s">
        <v>72</v>
      </c>
      <c r="RS10" s="70"/>
      <c r="RT10" s="70"/>
      <c r="RU10" s="70"/>
      <c r="RV10" s="85"/>
      <c r="RW10" s="69" t="s">
        <v>78</v>
      </c>
      <c r="RX10" s="70"/>
      <c r="RY10" s="70"/>
      <c r="RZ10" s="70"/>
      <c r="SA10" s="85"/>
      <c r="SB10" s="69" t="s">
        <v>79</v>
      </c>
      <c r="SC10" s="70"/>
      <c r="SD10" s="70"/>
      <c r="SE10" s="70"/>
      <c r="SF10" s="85"/>
      <c r="SG10" s="69" t="s">
        <v>86</v>
      </c>
      <c r="SH10" s="70"/>
      <c r="SI10" s="70"/>
      <c r="SJ10" s="70"/>
      <c r="SK10" s="85"/>
      <c r="SL10" s="69" t="s">
        <v>56</v>
      </c>
      <c r="SM10" s="70"/>
      <c r="SN10" s="70"/>
      <c r="SO10" s="70"/>
      <c r="SP10" s="85"/>
    </row>
    <row r="11" spans="1:510" s="9" customFormat="1" ht="45" x14ac:dyDescent="0.25">
      <c r="A11" s="79"/>
      <c r="B11" s="10" t="s">
        <v>59</v>
      </c>
      <c r="C11" s="10" t="s">
        <v>14</v>
      </c>
      <c r="D11" s="10" t="s">
        <v>16</v>
      </c>
      <c r="E11" s="10" t="s">
        <v>17</v>
      </c>
      <c r="F11" s="11" t="s">
        <v>18</v>
      </c>
      <c r="H11" s="79"/>
      <c r="I11" s="10" t="s">
        <v>59</v>
      </c>
      <c r="J11" s="10" t="s">
        <v>14</v>
      </c>
      <c r="K11" s="10" t="s">
        <v>16</v>
      </c>
      <c r="L11" s="10" t="s">
        <v>17</v>
      </c>
      <c r="M11" s="11" t="s">
        <v>18</v>
      </c>
      <c r="O11" s="79"/>
      <c r="P11" s="10" t="s">
        <v>59</v>
      </c>
      <c r="Q11" s="10" t="s">
        <v>14</v>
      </c>
      <c r="R11" s="10" t="s">
        <v>16</v>
      </c>
      <c r="S11" s="10" t="s">
        <v>17</v>
      </c>
      <c r="T11" s="11" t="s">
        <v>18</v>
      </c>
      <c r="V11" s="79"/>
      <c r="W11" s="10" t="s">
        <v>59</v>
      </c>
      <c r="X11" s="10" t="s">
        <v>14</v>
      </c>
      <c r="Y11" s="10" t="s">
        <v>16</v>
      </c>
      <c r="Z11" s="10" t="s">
        <v>17</v>
      </c>
      <c r="AA11" s="11" t="s">
        <v>18</v>
      </c>
      <c r="AB11" s="10" t="s">
        <v>59</v>
      </c>
      <c r="AC11" s="10" t="s">
        <v>14</v>
      </c>
      <c r="AD11" s="10" t="s">
        <v>16</v>
      </c>
      <c r="AE11" s="10" t="s">
        <v>17</v>
      </c>
      <c r="AF11" s="11" t="s">
        <v>18</v>
      </c>
      <c r="AG11" s="10" t="s">
        <v>59</v>
      </c>
      <c r="AH11" s="10" t="s">
        <v>14</v>
      </c>
      <c r="AI11" s="10" t="s">
        <v>16</v>
      </c>
      <c r="AJ11" s="10" t="s">
        <v>17</v>
      </c>
      <c r="AK11" s="11" t="s">
        <v>18</v>
      </c>
      <c r="AL11" s="10" t="s">
        <v>59</v>
      </c>
      <c r="AM11" s="10" t="s">
        <v>14</v>
      </c>
      <c r="AN11" s="10" t="s">
        <v>16</v>
      </c>
      <c r="AO11" s="10" t="s">
        <v>17</v>
      </c>
      <c r="AP11" s="11" t="s">
        <v>18</v>
      </c>
      <c r="AQ11" s="10" t="s">
        <v>59</v>
      </c>
      <c r="AR11" s="10" t="s">
        <v>14</v>
      </c>
      <c r="AS11" s="10" t="s">
        <v>16</v>
      </c>
      <c r="AT11" s="10" t="s">
        <v>17</v>
      </c>
      <c r="AU11" s="11" t="s">
        <v>18</v>
      </c>
      <c r="AV11" s="10" t="s">
        <v>59</v>
      </c>
      <c r="AW11" s="10" t="s">
        <v>14</v>
      </c>
      <c r="AX11" s="10" t="s">
        <v>16</v>
      </c>
      <c r="AY11" s="10" t="s">
        <v>17</v>
      </c>
      <c r="AZ11" s="11" t="s">
        <v>18</v>
      </c>
      <c r="BB11" s="79"/>
      <c r="BC11" s="10" t="s">
        <v>59</v>
      </c>
      <c r="BD11" s="10" t="s">
        <v>14</v>
      </c>
      <c r="BE11" s="10" t="s">
        <v>16</v>
      </c>
      <c r="BF11" s="10" t="s">
        <v>17</v>
      </c>
      <c r="BG11" s="11" t="s">
        <v>18</v>
      </c>
      <c r="BH11" s="10" t="s">
        <v>59</v>
      </c>
      <c r="BI11" s="10" t="s">
        <v>14</v>
      </c>
      <c r="BJ11" s="10" t="s">
        <v>16</v>
      </c>
      <c r="BK11" s="10" t="s">
        <v>17</v>
      </c>
      <c r="BL11" s="11" t="s">
        <v>18</v>
      </c>
      <c r="BM11" s="10" t="s">
        <v>59</v>
      </c>
      <c r="BN11" s="10" t="s">
        <v>14</v>
      </c>
      <c r="BO11" s="10" t="s">
        <v>16</v>
      </c>
      <c r="BP11" s="10" t="s">
        <v>17</v>
      </c>
      <c r="BQ11" s="11" t="s">
        <v>18</v>
      </c>
      <c r="BR11" s="10" t="s">
        <v>59</v>
      </c>
      <c r="BS11" s="10" t="s">
        <v>14</v>
      </c>
      <c r="BT11" s="10" t="s">
        <v>16</v>
      </c>
      <c r="BU11" s="10" t="s">
        <v>17</v>
      </c>
      <c r="BV11" s="11" t="s">
        <v>18</v>
      </c>
      <c r="BW11" s="10" t="s">
        <v>59</v>
      </c>
      <c r="BX11" s="10" t="s">
        <v>14</v>
      </c>
      <c r="BY11" s="10" t="s">
        <v>16</v>
      </c>
      <c r="BZ11" s="10" t="s">
        <v>17</v>
      </c>
      <c r="CA11" s="11" t="s">
        <v>18</v>
      </c>
      <c r="CB11" s="10" t="s">
        <v>59</v>
      </c>
      <c r="CC11" s="10" t="s">
        <v>14</v>
      </c>
      <c r="CD11" s="10" t="s">
        <v>16</v>
      </c>
      <c r="CE11" s="10" t="s">
        <v>17</v>
      </c>
      <c r="CF11" s="11" t="s">
        <v>18</v>
      </c>
      <c r="CH11" s="79"/>
      <c r="CI11" s="10" t="s">
        <v>59</v>
      </c>
      <c r="CJ11" s="10" t="s">
        <v>14</v>
      </c>
      <c r="CK11" s="10" t="s">
        <v>16</v>
      </c>
      <c r="CL11" s="10" t="s">
        <v>17</v>
      </c>
      <c r="CM11" s="11" t="s">
        <v>18</v>
      </c>
      <c r="CN11" s="10" t="s">
        <v>59</v>
      </c>
      <c r="CO11" s="10" t="s">
        <v>14</v>
      </c>
      <c r="CP11" s="10" t="s">
        <v>16</v>
      </c>
      <c r="CQ11" s="10" t="s">
        <v>17</v>
      </c>
      <c r="CR11" s="11" t="s">
        <v>18</v>
      </c>
      <c r="CS11" s="10" t="s">
        <v>59</v>
      </c>
      <c r="CT11" s="10" t="s">
        <v>14</v>
      </c>
      <c r="CU11" s="10" t="s">
        <v>16</v>
      </c>
      <c r="CV11" s="10" t="s">
        <v>17</v>
      </c>
      <c r="CW11" s="11" t="s">
        <v>18</v>
      </c>
      <c r="CX11" s="10" t="s">
        <v>59</v>
      </c>
      <c r="CY11" s="10" t="s">
        <v>14</v>
      </c>
      <c r="CZ11" s="10" t="s">
        <v>16</v>
      </c>
      <c r="DA11" s="10" t="s">
        <v>17</v>
      </c>
      <c r="DB11" s="11" t="s">
        <v>18</v>
      </c>
      <c r="DC11" s="10" t="s">
        <v>59</v>
      </c>
      <c r="DD11" s="10" t="s">
        <v>14</v>
      </c>
      <c r="DE11" s="10" t="s">
        <v>16</v>
      </c>
      <c r="DF11" s="10" t="s">
        <v>17</v>
      </c>
      <c r="DG11" s="11" t="s">
        <v>18</v>
      </c>
      <c r="DH11" s="10" t="s">
        <v>59</v>
      </c>
      <c r="DI11" s="10" t="s">
        <v>14</v>
      </c>
      <c r="DJ11" s="10" t="s">
        <v>16</v>
      </c>
      <c r="DK11" s="10" t="s">
        <v>17</v>
      </c>
      <c r="DL11" s="11" t="s">
        <v>18</v>
      </c>
      <c r="DN11" s="79"/>
      <c r="DO11" s="10" t="s">
        <v>59</v>
      </c>
      <c r="DP11" s="10" t="s">
        <v>14</v>
      </c>
      <c r="DQ11" s="10" t="s">
        <v>16</v>
      </c>
      <c r="DR11" s="10" t="s">
        <v>17</v>
      </c>
      <c r="DS11" s="11" t="s">
        <v>18</v>
      </c>
      <c r="DU11" s="79"/>
      <c r="DV11" s="10" t="s">
        <v>59</v>
      </c>
      <c r="DW11" s="10" t="s">
        <v>14</v>
      </c>
      <c r="DX11" s="10" t="s">
        <v>16</v>
      </c>
      <c r="DY11" s="10" t="s">
        <v>17</v>
      </c>
      <c r="DZ11" s="11" t="s">
        <v>18</v>
      </c>
      <c r="EB11" s="79"/>
      <c r="EC11" s="10" t="s">
        <v>59</v>
      </c>
      <c r="ED11" s="10" t="s">
        <v>14</v>
      </c>
      <c r="EE11" s="10" t="s">
        <v>16</v>
      </c>
      <c r="EF11" s="10" t="s">
        <v>17</v>
      </c>
      <c r="EG11" s="11" t="s">
        <v>18</v>
      </c>
      <c r="EI11" s="79"/>
      <c r="EJ11" s="10" t="s">
        <v>59</v>
      </c>
      <c r="EK11" s="10" t="s">
        <v>14</v>
      </c>
      <c r="EL11" s="10" t="s">
        <v>16</v>
      </c>
      <c r="EM11" s="10" t="s">
        <v>17</v>
      </c>
      <c r="EN11" s="11" t="s">
        <v>18</v>
      </c>
      <c r="EO11" s="10" t="s">
        <v>59</v>
      </c>
      <c r="EP11" s="10" t="s">
        <v>14</v>
      </c>
      <c r="EQ11" s="10" t="s">
        <v>16</v>
      </c>
      <c r="ER11" s="10" t="s">
        <v>17</v>
      </c>
      <c r="ES11" s="11" t="s">
        <v>18</v>
      </c>
      <c r="ET11" s="10" t="s">
        <v>59</v>
      </c>
      <c r="EU11" s="10" t="s">
        <v>14</v>
      </c>
      <c r="EV11" s="10" t="s">
        <v>16</v>
      </c>
      <c r="EW11" s="10" t="s">
        <v>17</v>
      </c>
      <c r="EX11" s="11" t="s">
        <v>18</v>
      </c>
      <c r="EY11" s="10" t="s">
        <v>59</v>
      </c>
      <c r="EZ11" s="10" t="s">
        <v>14</v>
      </c>
      <c r="FA11" s="10" t="s">
        <v>16</v>
      </c>
      <c r="FB11" s="10" t="s">
        <v>17</v>
      </c>
      <c r="FC11" s="11" t="s">
        <v>18</v>
      </c>
      <c r="FD11" s="10" t="s">
        <v>59</v>
      </c>
      <c r="FE11" s="10" t="s">
        <v>14</v>
      </c>
      <c r="FF11" s="10" t="s">
        <v>16</v>
      </c>
      <c r="FG11" s="10" t="s">
        <v>17</v>
      </c>
      <c r="FH11" s="11" t="s">
        <v>18</v>
      </c>
      <c r="FI11" s="10" t="s">
        <v>59</v>
      </c>
      <c r="FJ11" s="10" t="s">
        <v>14</v>
      </c>
      <c r="FK11" s="10" t="s">
        <v>16</v>
      </c>
      <c r="FL11" s="10" t="s">
        <v>17</v>
      </c>
      <c r="FM11" s="11" t="s">
        <v>18</v>
      </c>
      <c r="FN11" s="10" t="s">
        <v>59</v>
      </c>
      <c r="FO11" s="10" t="s">
        <v>14</v>
      </c>
      <c r="FP11" s="10" t="s">
        <v>16</v>
      </c>
      <c r="FQ11" s="10" t="s">
        <v>17</v>
      </c>
      <c r="FR11" s="11" t="s">
        <v>18</v>
      </c>
      <c r="FS11" s="10" t="s">
        <v>59</v>
      </c>
      <c r="FT11" s="10" t="s">
        <v>14</v>
      </c>
      <c r="FU11" s="10" t="s">
        <v>16</v>
      </c>
      <c r="FV11" s="10" t="s">
        <v>17</v>
      </c>
      <c r="FW11" s="11" t="s">
        <v>18</v>
      </c>
      <c r="FX11" s="10" t="s">
        <v>59</v>
      </c>
      <c r="FY11" s="10" t="s">
        <v>14</v>
      </c>
      <c r="FZ11" s="10" t="s">
        <v>16</v>
      </c>
      <c r="GA11" s="10" t="s">
        <v>17</v>
      </c>
      <c r="GB11" s="11" t="s">
        <v>18</v>
      </c>
      <c r="GC11" s="10" t="s">
        <v>59</v>
      </c>
      <c r="GD11" s="10" t="s">
        <v>14</v>
      </c>
      <c r="GE11" s="10" t="s">
        <v>16</v>
      </c>
      <c r="GF11" s="10" t="s">
        <v>17</v>
      </c>
      <c r="GG11" s="11" t="s">
        <v>18</v>
      </c>
      <c r="GH11" s="10" t="s">
        <v>59</v>
      </c>
      <c r="GI11" s="10" t="s">
        <v>14</v>
      </c>
      <c r="GJ11" s="10" t="s">
        <v>16</v>
      </c>
      <c r="GK11" s="10" t="s">
        <v>17</v>
      </c>
      <c r="GL11" s="11" t="s">
        <v>18</v>
      </c>
      <c r="GM11" s="10" t="s">
        <v>59</v>
      </c>
      <c r="GN11" s="10" t="s">
        <v>14</v>
      </c>
      <c r="GO11" s="10" t="s">
        <v>16</v>
      </c>
      <c r="GP11" s="10" t="s">
        <v>17</v>
      </c>
      <c r="GQ11" s="11" t="s">
        <v>18</v>
      </c>
      <c r="GR11" s="10" t="s">
        <v>59</v>
      </c>
      <c r="GS11" s="10" t="s">
        <v>14</v>
      </c>
      <c r="GT11" s="10" t="s">
        <v>16</v>
      </c>
      <c r="GU11" s="10" t="s">
        <v>17</v>
      </c>
      <c r="GV11" s="11" t="s">
        <v>18</v>
      </c>
      <c r="GW11" s="10" t="s">
        <v>59</v>
      </c>
      <c r="GX11" s="10" t="s">
        <v>14</v>
      </c>
      <c r="GY11" s="10" t="s">
        <v>16</v>
      </c>
      <c r="GZ11" s="10" t="s">
        <v>17</v>
      </c>
      <c r="HA11" s="11" t="s">
        <v>18</v>
      </c>
      <c r="HB11" s="10" t="s">
        <v>59</v>
      </c>
      <c r="HC11" s="10" t="s">
        <v>14</v>
      </c>
      <c r="HD11" s="10" t="s">
        <v>16</v>
      </c>
      <c r="HE11" s="10" t="s">
        <v>17</v>
      </c>
      <c r="HF11" s="11" t="s">
        <v>18</v>
      </c>
      <c r="HG11" s="10" t="s">
        <v>59</v>
      </c>
      <c r="HH11" s="10" t="s">
        <v>14</v>
      </c>
      <c r="HI11" s="10" t="s">
        <v>16</v>
      </c>
      <c r="HJ11" s="10" t="s">
        <v>17</v>
      </c>
      <c r="HK11" s="11" t="s">
        <v>18</v>
      </c>
      <c r="HL11" s="10" t="s">
        <v>59</v>
      </c>
      <c r="HM11" s="10" t="s">
        <v>14</v>
      </c>
      <c r="HN11" s="10" t="s">
        <v>16</v>
      </c>
      <c r="HO11" s="10" t="s">
        <v>17</v>
      </c>
      <c r="HP11" s="11" t="s">
        <v>18</v>
      </c>
      <c r="HQ11" s="10" t="s">
        <v>59</v>
      </c>
      <c r="HR11" s="10" t="s">
        <v>14</v>
      </c>
      <c r="HS11" s="10" t="s">
        <v>16</v>
      </c>
      <c r="HT11" s="10" t="s">
        <v>17</v>
      </c>
      <c r="HU11" s="11" t="s">
        <v>18</v>
      </c>
      <c r="HV11" s="10" t="s">
        <v>59</v>
      </c>
      <c r="HW11" s="10" t="s">
        <v>14</v>
      </c>
      <c r="HX11" s="10" t="s">
        <v>16</v>
      </c>
      <c r="HY11" s="10" t="s">
        <v>17</v>
      </c>
      <c r="HZ11" s="11" t="s">
        <v>18</v>
      </c>
      <c r="IB11" s="79"/>
      <c r="IC11" s="10" t="s">
        <v>59</v>
      </c>
      <c r="ID11" s="10" t="s">
        <v>14</v>
      </c>
      <c r="IE11" s="10" t="s">
        <v>16</v>
      </c>
      <c r="IF11" s="10" t="s">
        <v>17</v>
      </c>
      <c r="IG11" s="11" t="s">
        <v>18</v>
      </c>
      <c r="IH11" s="10" t="s">
        <v>59</v>
      </c>
      <c r="II11" s="10" t="s">
        <v>14</v>
      </c>
      <c r="IJ11" s="10" t="s">
        <v>16</v>
      </c>
      <c r="IK11" s="10" t="s">
        <v>17</v>
      </c>
      <c r="IL11" s="11" t="s">
        <v>18</v>
      </c>
      <c r="IM11" s="10" t="s">
        <v>59</v>
      </c>
      <c r="IN11" s="10" t="s">
        <v>14</v>
      </c>
      <c r="IO11" s="10" t="s">
        <v>16</v>
      </c>
      <c r="IP11" s="10" t="s">
        <v>17</v>
      </c>
      <c r="IQ11" s="11" t="s">
        <v>18</v>
      </c>
      <c r="IR11" s="10" t="s">
        <v>59</v>
      </c>
      <c r="IS11" s="10" t="s">
        <v>14</v>
      </c>
      <c r="IT11" s="10" t="s">
        <v>16</v>
      </c>
      <c r="IU11" s="10" t="s">
        <v>17</v>
      </c>
      <c r="IV11" s="11" t="s">
        <v>18</v>
      </c>
      <c r="IW11" s="10" t="s">
        <v>59</v>
      </c>
      <c r="IX11" s="10" t="s">
        <v>14</v>
      </c>
      <c r="IY11" s="10" t="s">
        <v>16</v>
      </c>
      <c r="IZ11" s="10" t="s">
        <v>17</v>
      </c>
      <c r="JA11" s="11" t="s">
        <v>18</v>
      </c>
      <c r="JB11" s="10" t="s">
        <v>59</v>
      </c>
      <c r="JC11" s="10" t="s">
        <v>14</v>
      </c>
      <c r="JD11" s="10" t="s">
        <v>16</v>
      </c>
      <c r="JE11" s="10" t="s">
        <v>17</v>
      </c>
      <c r="JF11" s="11" t="s">
        <v>18</v>
      </c>
      <c r="JG11" s="10" t="s">
        <v>59</v>
      </c>
      <c r="JH11" s="10" t="s">
        <v>14</v>
      </c>
      <c r="JI11" s="10" t="s">
        <v>16</v>
      </c>
      <c r="JJ11" s="10" t="s">
        <v>17</v>
      </c>
      <c r="JK11" s="11" t="s">
        <v>18</v>
      </c>
      <c r="JL11" s="10" t="s">
        <v>59</v>
      </c>
      <c r="JM11" s="10" t="s">
        <v>14</v>
      </c>
      <c r="JN11" s="10" t="s">
        <v>16</v>
      </c>
      <c r="JO11" s="10" t="s">
        <v>17</v>
      </c>
      <c r="JP11" s="11" t="s">
        <v>18</v>
      </c>
      <c r="JQ11" s="10" t="s">
        <v>59</v>
      </c>
      <c r="JR11" s="10" t="s">
        <v>14</v>
      </c>
      <c r="JS11" s="10" t="s">
        <v>16</v>
      </c>
      <c r="JT11" s="10" t="s">
        <v>17</v>
      </c>
      <c r="JU11" s="11" t="s">
        <v>18</v>
      </c>
      <c r="JV11" s="10" t="s">
        <v>59</v>
      </c>
      <c r="JW11" s="10" t="s">
        <v>14</v>
      </c>
      <c r="JX11" s="10" t="s">
        <v>16</v>
      </c>
      <c r="JY11" s="10" t="s">
        <v>17</v>
      </c>
      <c r="JZ11" s="11" t="s">
        <v>18</v>
      </c>
      <c r="KA11" s="10" t="s">
        <v>59</v>
      </c>
      <c r="KB11" s="10" t="s">
        <v>14</v>
      </c>
      <c r="KC11" s="10" t="s">
        <v>16</v>
      </c>
      <c r="KD11" s="10" t="s">
        <v>17</v>
      </c>
      <c r="KE11" s="11" t="s">
        <v>18</v>
      </c>
      <c r="KF11" s="10" t="s">
        <v>59</v>
      </c>
      <c r="KG11" s="10" t="s">
        <v>14</v>
      </c>
      <c r="KH11" s="10" t="s">
        <v>16</v>
      </c>
      <c r="KI11" s="10" t="s">
        <v>17</v>
      </c>
      <c r="KJ11" s="11" t="s">
        <v>18</v>
      </c>
      <c r="KK11" s="10" t="s">
        <v>59</v>
      </c>
      <c r="KL11" s="10" t="s">
        <v>14</v>
      </c>
      <c r="KM11" s="10" t="s">
        <v>16</v>
      </c>
      <c r="KN11" s="10" t="s">
        <v>17</v>
      </c>
      <c r="KO11" s="11" t="s">
        <v>18</v>
      </c>
      <c r="KP11" s="10" t="s">
        <v>59</v>
      </c>
      <c r="KQ11" s="10" t="s">
        <v>14</v>
      </c>
      <c r="KR11" s="10" t="s">
        <v>16</v>
      </c>
      <c r="KS11" s="10" t="s">
        <v>17</v>
      </c>
      <c r="KT11" s="11" t="s">
        <v>18</v>
      </c>
      <c r="KU11" s="10" t="s">
        <v>59</v>
      </c>
      <c r="KV11" s="10" t="s">
        <v>14</v>
      </c>
      <c r="KW11" s="10" t="s">
        <v>16</v>
      </c>
      <c r="KX11" s="10" t="s">
        <v>17</v>
      </c>
      <c r="KY11" s="11" t="s">
        <v>18</v>
      </c>
      <c r="KZ11" s="10" t="s">
        <v>59</v>
      </c>
      <c r="LA11" s="10" t="s">
        <v>14</v>
      </c>
      <c r="LB11" s="10" t="s">
        <v>16</v>
      </c>
      <c r="LC11" s="10" t="s">
        <v>17</v>
      </c>
      <c r="LD11" s="11" t="s">
        <v>18</v>
      </c>
      <c r="LE11" s="10" t="s">
        <v>59</v>
      </c>
      <c r="LF11" s="10" t="s">
        <v>14</v>
      </c>
      <c r="LG11" s="10" t="s">
        <v>16</v>
      </c>
      <c r="LH11" s="10" t="s">
        <v>17</v>
      </c>
      <c r="LI11" s="11" t="s">
        <v>18</v>
      </c>
      <c r="LJ11" s="10" t="s">
        <v>59</v>
      </c>
      <c r="LK11" s="10" t="s">
        <v>14</v>
      </c>
      <c r="LL11" s="10" t="s">
        <v>16</v>
      </c>
      <c r="LM11" s="10" t="s">
        <v>17</v>
      </c>
      <c r="LN11" s="11" t="s">
        <v>18</v>
      </c>
      <c r="LO11" s="10" t="s">
        <v>59</v>
      </c>
      <c r="LP11" s="10" t="s">
        <v>14</v>
      </c>
      <c r="LQ11" s="10" t="s">
        <v>16</v>
      </c>
      <c r="LR11" s="10" t="s">
        <v>17</v>
      </c>
      <c r="LS11" s="11" t="s">
        <v>18</v>
      </c>
      <c r="LU11" s="79"/>
      <c r="LV11" s="10" t="s">
        <v>59</v>
      </c>
      <c r="LW11" s="10" t="s">
        <v>14</v>
      </c>
      <c r="LX11" s="10" t="s">
        <v>16</v>
      </c>
      <c r="LY11" s="10" t="s">
        <v>17</v>
      </c>
      <c r="LZ11" s="11" t="s">
        <v>18</v>
      </c>
      <c r="MA11" s="10" t="s">
        <v>59</v>
      </c>
      <c r="MB11" s="10" t="s">
        <v>14</v>
      </c>
      <c r="MC11" s="10" t="s">
        <v>16</v>
      </c>
      <c r="MD11" s="10" t="s">
        <v>17</v>
      </c>
      <c r="ME11" s="11" t="s">
        <v>18</v>
      </c>
      <c r="MF11" s="10" t="s">
        <v>59</v>
      </c>
      <c r="MG11" s="10" t="s">
        <v>14</v>
      </c>
      <c r="MH11" s="10" t="s">
        <v>16</v>
      </c>
      <c r="MI11" s="10" t="s">
        <v>17</v>
      </c>
      <c r="MJ11" s="11" t="s">
        <v>18</v>
      </c>
      <c r="MK11" s="10" t="s">
        <v>59</v>
      </c>
      <c r="ML11" s="10" t="s">
        <v>14</v>
      </c>
      <c r="MM11" s="10" t="s">
        <v>16</v>
      </c>
      <c r="MN11" s="10" t="s">
        <v>17</v>
      </c>
      <c r="MO11" s="11" t="s">
        <v>18</v>
      </c>
      <c r="MP11" s="10" t="s">
        <v>59</v>
      </c>
      <c r="MQ11" s="10" t="s">
        <v>14</v>
      </c>
      <c r="MR11" s="10" t="s">
        <v>16</v>
      </c>
      <c r="MS11" s="10" t="s">
        <v>17</v>
      </c>
      <c r="MT11" s="11" t="s">
        <v>18</v>
      </c>
      <c r="MU11" s="10" t="s">
        <v>59</v>
      </c>
      <c r="MV11" s="10" t="s">
        <v>14</v>
      </c>
      <c r="MW11" s="10" t="s">
        <v>16</v>
      </c>
      <c r="MX11" s="10" t="s">
        <v>17</v>
      </c>
      <c r="MY11" s="11" t="s">
        <v>18</v>
      </c>
      <c r="MZ11" s="10" t="s">
        <v>59</v>
      </c>
      <c r="NA11" s="10" t="s">
        <v>14</v>
      </c>
      <c r="NB11" s="10" t="s">
        <v>16</v>
      </c>
      <c r="NC11" s="10" t="s">
        <v>17</v>
      </c>
      <c r="ND11" s="11" t="s">
        <v>18</v>
      </c>
      <c r="NE11" s="10" t="s">
        <v>59</v>
      </c>
      <c r="NF11" s="10" t="s">
        <v>14</v>
      </c>
      <c r="NG11" s="10" t="s">
        <v>16</v>
      </c>
      <c r="NH11" s="10" t="s">
        <v>17</v>
      </c>
      <c r="NI11" s="11" t="s">
        <v>18</v>
      </c>
      <c r="NJ11" s="10" t="s">
        <v>59</v>
      </c>
      <c r="NK11" s="10" t="s">
        <v>14</v>
      </c>
      <c r="NL11" s="10" t="s">
        <v>16</v>
      </c>
      <c r="NM11" s="10" t="s">
        <v>17</v>
      </c>
      <c r="NN11" s="11" t="s">
        <v>18</v>
      </c>
      <c r="NO11" s="10" t="s">
        <v>59</v>
      </c>
      <c r="NP11" s="10" t="s">
        <v>14</v>
      </c>
      <c r="NQ11" s="10" t="s">
        <v>16</v>
      </c>
      <c r="NR11" s="10" t="s">
        <v>17</v>
      </c>
      <c r="NS11" s="11" t="s">
        <v>18</v>
      </c>
      <c r="NT11" s="10" t="s">
        <v>59</v>
      </c>
      <c r="NU11" s="10" t="s">
        <v>14</v>
      </c>
      <c r="NV11" s="10" t="s">
        <v>16</v>
      </c>
      <c r="NW11" s="10" t="s">
        <v>17</v>
      </c>
      <c r="NX11" s="11" t="s">
        <v>18</v>
      </c>
      <c r="NY11" s="10" t="s">
        <v>59</v>
      </c>
      <c r="NZ11" s="10" t="s">
        <v>14</v>
      </c>
      <c r="OA11" s="10" t="s">
        <v>16</v>
      </c>
      <c r="OB11" s="10" t="s">
        <v>17</v>
      </c>
      <c r="OC11" s="11" t="s">
        <v>18</v>
      </c>
      <c r="OD11" s="10" t="s">
        <v>59</v>
      </c>
      <c r="OE11" s="10" t="s">
        <v>14</v>
      </c>
      <c r="OF11" s="10" t="s">
        <v>16</v>
      </c>
      <c r="OG11" s="10" t="s">
        <v>17</v>
      </c>
      <c r="OH11" s="11" t="s">
        <v>18</v>
      </c>
      <c r="OI11" s="10" t="s">
        <v>59</v>
      </c>
      <c r="OJ11" s="10" t="s">
        <v>14</v>
      </c>
      <c r="OK11" s="10" t="s">
        <v>16</v>
      </c>
      <c r="OL11" s="10" t="s">
        <v>17</v>
      </c>
      <c r="OM11" s="11" t="s">
        <v>18</v>
      </c>
      <c r="ON11" s="10" t="s">
        <v>59</v>
      </c>
      <c r="OO11" s="10" t="s">
        <v>14</v>
      </c>
      <c r="OP11" s="10" t="s">
        <v>16</v>
      </c>
      <c r="OQ11" s="10" t="s">
        <v>17</v>
      </c>
      <c r="OR11" s="11" t="s">
        <v>18</v>
      </c>
      <c r="OS11" s="10" t="s">
        <v>59</v>
      </c>
      <c r="OT11" s="10" t="s">
        <v>14</v>
      </c>
      <c r="OU11" s="10" t="s">
        <v>16</v>
      </c>
      <c r="OV11" s="10" t="s">
        <v>17</v>
      </c>
      <c r="OW11" s="11" t="s">
        <v>18</v>
      </c>
      <c r="OX11" s="10" t="s">
        <v>59</v>
      </c>
      <c r="OY11" s="10" t="s">
        <v>14</v>
      </c>
      <c r="OZ11" s="10" t="s">
        <v>16</v>
      </c>
      <c r="PA11" s="10" t="s">
        <v>17</v>
      </c>
      <c r="PB11" s="11" t="s">
        <v>18</v>
      </c>
      <c r="PC11" s="10" t="s">
        <v>59</v>
      </c>
      <c r="PD11" s="10" t="s">
        <v>14</v>
      </c>
      <c r="PE11" s="10" t="s">
        <v>16</v>
      </c>
      <c r="PF11" s="10" t="s">
        <v>17</v>
      </c>
      <c r="PG11" s="11" t="s">
        <v>18</v>
      </c>
      <c r="PH11" s="10" t="s">
        <v>59</v>
      </c>
      <c r="PI11" s="10" t="s">
        <v>14</v>
      </c>
      <c r="PJ11" s="10" t="s">
        <v>16</v>
      </c>
      <c r="PK11" s="10" t="s">
        <v>17</v>
      </c>
      <c r="PL11" s="11" t="s">
        <v>18</v>
      </c>
      <c r="PN11" s="79"/>
      <c r="PO11" s="10" t="s">
        <v>59</v>
      </c>
      <c r="PP11" s="10" t="s">
        <v>14</v>
      </c>
      <c r="PQ11" s="10" t="s">
        <v>16</v>
      </c>
      <c r="PR11" s="10" t="s">
        <v>17</v>
      </c>
      <c r="PS11" s="11" t="s">
        <v>18</v>
      </c>
      <c r="PT11" s="10" t="s">
        <v>59</v>
      </c>
      <c r="PU11" s="10" t="s">
        <v>14</v>
      </c>
      <c r="PV11" s="10" t="s">
        <v>16</v>
      </c>
      <c r="PW11" s="10" t="s">
        <v>17</v>
      </c>
      <c r="PX11" s="11" t="s">
        <v>18</v>
      </c>
      <c r="PY11" s="10" t="s">
        <v>59</v>
      </c>
      <c r="PZ11" s="10" t="s">
        <v>14</v>
      </c>
      <c r="QA11" s="10" t="s">
        <v>16</v>
      </c>
      <c r="QB11" s="10" t="s">
        <v>17</v>
      </c>
      <c r="QC11" s="11" t="s">
        <v>18</v>
      </c>
      <c r="QD11" s="10" t="s">
        <v>59</v>
      </c>
      <c r="QE11" s="10" t="s">
        <v>14</v>
      </c>
      <c r="QF11" s="10" t="s">
        <v>16</v>
      </c>
      <c r="QG11" s="10" t="s">
        <v>17</v>
      </c>
      <c r="QH11" s="11" t="s">
        <v>18</v>
      </c>
      <c r="QI11" s="10" t="s">
        <v>59</v>
      </c>
      <c r="QJ11" s="10" t="s">
        <v>14</v>
      </c>
      <c r="QK11" s="10" t="s">
        <v>16</v>
      </c>
      <c r="QL11" s="10" t="s">
        <v>17</v>
      </c>
      <c r="QM11" s="11" t="s">
        <v>18</v>
      </c>
      <c r="QN11" s="10" t="s">
        <v>59</v>
      </c>
      <c r="QO11" s="10" t="s">
        <v>14</v>
      </c>
      <c r="QP11" s="10" t="s">
        <v>16</v>
      </c>
      <c r="QQ11" s="10" t="s">
        <v>17</v>
      </c>
      <c r="QR11" s="11" t="s">
        <v>18</v>
      </c>
      <c r="QS11" s="10" t="s">
        <v>59</v>
      </c>
      <c r="QT11" s="10" t="s">
        <v>14</v>
      </c>
      <c r="QU11" s="10" t="s">
        <v>16</v>
      </c>
      <c r="QV11" s="10" t="s">
        <v>17</v>
      </c>
      <c r="QW11" s="11" t="s">
        <v>18</v>
      </c>
      <c r="QX11" s="10" t="s">
        <v>59</v>
      </c>
      <c r="QY11" s="10" t="s">
        <v>14</v>
      </c>
      <c r="QZ11" s="10" t="s">
        <v>16</v>
      </c>
      <c r="RA11" s="10" t="s">
        <v>17</v>
      </c>
      <c r="RB11" s="11" t="s">
        <v>18</v>
      </c>
      <c r="RC11" s="10" t="s">
        <v>59</v>
      </c>
      <c r="RD11" s="10" t="s">
        <v>14</v>
      </c>
      <c r="RE11" s="10" t="s">
        <v>16</v>
      </c>
      <c r="RF11" s="10" t="s">
        <v>17</v>
      </c>
      <c r="RG11" s="11" t="s">
        <v>18</v>
      </c>
      <c r="RH11" s="10" t="s">
        <v>59</v>
      </c>
      <c r="RI11" s="10" t="s">
        <v>14</v>
      </c>
      <c r="RJ11" s="10" t="s">
        <v>16</v>
      </c>
      <c r="RK11" s="10" t="s">
        <v>17</v>
      </c>
      <c r="RL11" s="11" t="s">
        <v>18</v>
      </c>
      <c r="RM11" s="10" t="s">
        <v>59</v>
      </c>
      <c r="RN11" s="10" t="s">
        <v>14</v>
      </c>
      <c r="RO11" s="10" t="s">
        <v>16</v>
      </c>
      <c r="RP11" s="10" t="s">
        <v>17</v>
      </c>
      <c r="RQ11" s="11" t="s">
        <v>18</v>
      </c>
      <c r="RR11" s="10" t="s">
        <v>59</v>
      </c>
      <c r="RS11" s="10" t="s">
        <v>14</v>
      </c>
      <c r="RT11" s="10" t="s">
        <v>16</v>
      </c>
      <c r="RU11" s="10" t="s">
        <v>17</v>
      </c>
      <c r="RV11" s="11" t="s">
        <v>18</v>
      </c>
      <c r="RW11" s="10" t="s">
        <v>59</v>
      </c>
      <c r="RX11" s="10" t="s">
        <v>14</v>
      </c>
      <c r="RY11" s="10" t="s">
        <v>16</v>
      </c>
      <c r="RZ11" s="10" t="s">
        <v>17</v>
      </c>
      <c r="SA11" s="11" t="s">
        <v>18</v>
      </c>
      <c r="SB11" s="10" t="s">
        <v>59</v>
      </c>
      <c r="SC11" s="10" t="s">
        <v>14</v>
      </c>
      <c r="SD11" s="10" t="s">
        <v>16</v>
      </c>
      <c r="SE11" s="10" t="s">
        <v>17</v>
      </c>
      <c r="SF11" s="11" t="s">
        <v>18</v>
      </c>
      <c r="SG11" s="10" t="s">
        <v>59</v>
      </c>
      <c r="SH11" s="10" t="s">
        <v>14</v>
      </c>
      <c r="SI11" s="10" t="s">
        <v>16</v>
      </c>
      <c r="SJ11" s="10" t="s">
        <v>17</v>
      </c>
      <c r="SK11" s="11" t="s">
        <v>18</v>
      </c>
      <c r="SL11" s="10" t="s">
        <v>59</v>
      </c>
      <c r="SM11" s="10" t="s">
        <v>14</v>
      </c>
      <c r="SN11" s="10" t="s">
        <v>16</v>
      </c>
      <c r="SO11" s="10" t="s">
        <v>17</v>
      </c>
      <c r="SP11" s="11" t="s">
        <v>18</v>
      </c>
    </row>
    <row r="12" spans="1:510" x14ac:dyDescent="0.25">
      <c r="A12" s="3" t="s">
        <v>0</v>
      </c>
      <c r="B12" s="13">
        <v>2545.0100000000002</v>
      </c>
      <c r="C12" s="4">
        <v>0</v>
      </c>
      <c r="D12" s="13">
        <v>2290.5100000000002</v>
      </c>
      <c r="E12" s="13">
        <f>C12*D12</f>
        <v>0</v>
      </c>
      <c r="F12" s="20">
        <f>(D12/B12)-1</f>
        <v>-9.9999607074235497E-2</v>
      </c>
      <c r="H12" s="3" t="s">
        <v>0</v>
      </c>
      <c r="I12" s="13">
        <v>794.22</v>
      </c>
      <c r="J12" s="4">
        <v>0</v>
      </c>
      <c r="K12" s="13">
        <v>714.83</v>
      </c>
      <c r="L12" s="13">
        <f t="shared" ref="L12:L25" si="0">J12*K12</f>
        <v>0</v>
      </c>
      <c r="M12" s="20">
        <f>(K12/I12)-1</f>
        <v>-9.9959708896779187E-2</v>
      </c>
      <c r="O12" s="3" t="s">
        <v>0</v>
      </c>
      <c r="P12" s="13">
        <v>2362.83</v>
      </c>
      <c r="Q12" s="4">
        <v>3</v>
      </c>
      <c r="R12" s="13">
        <v>2126.54</v>
      </c>
      <c r="S12" s="13">
        <f t="shared" ref="S12:S25" si="1">Q12*R12</f>
        <v>6379.62</v>
      </c>
      <c r="T12" s="20">
        <f>(R12/P12)-1</f>
        <v>-0.10000296254914653</v>
      </c>
      <c r="V12" s="3" t="s">
        <v>0</v>
      </c>
      <c r="W12" s="15">
        <v>2594.9</v>
      </c>
      <c r="X12" s="4">
        <v>0</v>
      </c>
      <c r="Y12" s="13">
        <v>2440.21</v>
      </c>
      <c r="Z12" s="13">
        <f t="shared" ref="Z12:Z25" si="2">X12*Y12</f>
        <v>0</v>
      </c>
      <c r="AA12" s="12">
        <f>(Y12/W12)-1</f>
        <v>-5.9613087209526405E-2</v>
      </c>
      <c r="AB12" s="15">
        <v>2250.27</v>
      </c>
      <c r="AC12" s="4">
        <v>0</v>
      </c>
      <c r="AD12" s="13">
        <v>2135.62</v>
      </c>
      <c r="AE12" s="13">
        <f t="shared" ref="AE12:AE25" si="3">AC12*AD12</f>
        <v>0</v>
      </c>
      <c r="AF12" s="12">
        <f>(AD12/AB12)-1</f>
        <v>-5.0949441622560876E-2</v>
      </c>
      <c r="AG12" s="33">
        <v>2100.1799999999998</v>
      </c>
      <c r="AH12" s="4">
        <v>0</v>
      </c>
      <c r="AI12" s="13">
        <v>1995.22</v>
      </c>
      <c r="AJ12" s="13">
        <f t="shared" ref="AJ12:AJ25" si="4">AH12*AI12</f>
        <v>0</v>
      </c>
      <c r="AK12" s="12">
        <f>(AI12/AG12)-1</f>
        <v>-4.9976668666495194E-2</v>
      </c>
      <c r="AL12" s="15">
        <v>1887.75</v>
      </c>
      <c r="AM12" s="4">
        <v>0</v>
      </c>
      <c r="AN12" s="13">
        <v>1742.3</v>
      </c>
      <c r="AO12" s="13">
        <f t="shared" ref="AO12:AO25" si="5">AM12*AN12</f>
        <v>0</v>
      </c>
      <c r="AP12" s="12">
        <f>(AN12/AL12)-1</f>
        <v>-7.7049397430803857E-2</v>
      </c>
      <c r="AQ12" s="15">
        <v>1863.25</v>
      </c>
      <c r="AR12" s="4">
        <v>0</v>
      </c>
      <c r="AS12" s="13">
        <v>1719.71</v>
      </c>
      <c r="AT12" s="13">
        <f t="shared" ref="AT12:AT25" si="6">AR12*AS12</f>
        <v>0</v>
      </c>
      <c r="AU12" s="12">
        <f>(AS12/AQ12)-1</f>
        <v>-7.7037434590097931E-2</v>
      </c>
      <c r="AV12" s="33">
        <v>1735.31</v>
      </c>
      <c r="AW12" s="4">
        <v>0</v>
      </c>
      <c r="AX12" s="13">
        <v>1618.03</v>
      </c>
      <c r="AY12" s="13">
        <f t="shared" ref="AY12:AY25" si="7">AW12*AX12</f>
        <v>0</v>
      </c>
      <c r="AZ12" s="12">
        <f>(AX12/AV12)-1</f>
        <v>-6.7584466176072278E-2</v>
      </c>
      <c r="BB12" s="3" t="s">
        <v>0</v>
      </c>
      <c r="BC12" s="15">
        <v>794.22</v>
      </c>
      <c r="BD12" s="4">
        <v>1</v>
      </c>
      <c r="BE12" s="13">
        <v>754.55</v>
      </c>
      <c r="BF12" s="13">
        <f t="shared" ref="BF12:BF25" si="8">BD12*BE12</f>
        <v>754.55</v>
      </c>
      <c r="BG12" s="12">
        <f>(BE12/BC12)-1</f>
        <v>-4.9948377023998458E-2</v>
      </c>
      <c r="BH12" s="15">
        <v>709.84</v>
      </c>
      <c r="BI12" s="4">
        <v>0</v>
      </c>
      <c r="BJ12" s="13">
        <v>687.07</v>
      </c>
      <c r="BK12" s="13">
        <f t="shared" ref="BK12:BK25" si="9">BI12*BJ12</f>
        <v>0</v>
      </c>
      <c r="BL12" s="12">
        <f>(BJ12/BH12)-1</f>
        <v>-3.2077651301701815E-2</v>
      </c>
      <c r="BM12" s="13">
        <v>664.12</v>
      </c>
      <c r="BN12" s="4">
        <v>0</v>
      </c>
      <c r="BO12" s="13">
        <v>630.95000000000005</v>
      </c>
      <c r="BP12" s="13">
        <f t="shared" ref="BP12:BP25" si="10">BN12*BO12</f>
        <v>0</v>
      </c>
      <c r="BQ12" s="12">
        <f>(BO12/BM12)-1</f>
        <v>-4.9945792928988708E-2</v>
      </c>
      <c r="BR12" s="13">
        <v>590.70000000000005</v>
      </c>
      <c r="BS12" s="4">
        <v>0</v>
      </c>
      <c r="BT12" s="13">
        <v>561.19000000000005</v>
      </c>
      <c r="BU12" s="13">
        <f t="shared" ref="BU12:BU25" si="11">BS12*BT12</f>
        <v>0</v>
      </c>
      <c r="BV12" s="12">
        <f>(BT12/BR12)-1</f>
        <v>-4.9957677331978978E-2</v>
      </c>
      <c r="BW12" s="15">
        <v>588.01</v>
      </c>
      <c r="BX12" s="4">
        <v>0</v>
      </c>
      <c r="BY12" s="13">
        <v>558.63</v>
      </c>
      <c r="BZ12" s="13">
        <f t="shared" ref="BZ12:BZ25" si="12">BX12*BY12</f>
        <v>0</v>
      </c>
      <c r="CA12" s="12">
        <f>(BY12/BW12)-1</f>
        <v>-4.9965136647335928E-2</v>
      </c>
      <c r="CB12" s="15">
        <v>554.27</v>
      </c>
      <c r="CC12" s="4">
        <v>0</v>
      </c>
      <c r="CD12" s="13">
        <v>526.59</v>
      </c>
      <c r="CE12" s="13">
        <f t="shared" ref="CE12:CE25" si="13">CC12*CD12</f>
        <v>0</v>
      </c>
      <c r="CF12" s="12">
        <f>(CD12/CB12)-1</f>
        <v>-4.9939560142168937E-2</v>
      </c>
      <c r="CH12" s="3" t="s">
        <v>0</v>
      </c>
      <c r="CI12" s="13">
        <v>2390.62</v>
      </c>
      <c r="CJ12" s="4">
        <v>2</v>
      </c>
      <c r="CK12" s="13">
        <v>2281.15</v>
      </c>
      <c r="CL12" s="13">
        <f t="shared" ref="CL12:CL25" si="14">CJ12*CK12</f>
        <v>4562.3</v>
      </c>
      <c r="CM12" s="12">
        <f>(CK12/CI12)-1</f>
        <v>-4.5791468322025186E-2</v>
      </c>
      <c r="CN12" s="15">
        <v>2101.9899999999998</v>
      </c>
      <c r="CO12" s="4">
        <v>0</v>
      </c>
      <c r="CP12" s="13">
        <v>2005.74</v>
      </c>
      <c r="CQ12" s="13">
        <f t="shared" ref="CQ12:CQ25" si="15">CO12*CP12</f>
        <v>0</v>
      </c>
      <c r="CR12" s="12">
        <f>(CP12/CN12)-1</f>
        <v>-4.5789941912187881E-2</v>
      </c>
      <c r="CS12" s="13">
        <v>1984.02</v>
      </c>
      <c r="CT12" s="4">
        <v>3</v>
      </c>
      <c r="CU12" s="13">
        <v>1893.16</v>
      </c>
      <c r="CV12" s="13">
        <f t="shared" ref="CV12:CV25" si="16">CT12*CU12</f>
        <v>5679.4800000000005</v>
      </c>
      <c r="CW12" s="12">
        <f>(CU12/CS12)-1</f>
        <v>-4.5795909315430205E-2</v>
      </c>
      <c r="CX12" s="13">
        <v>1764.27</v>
      </c>
      <c r="CY12" s="4">
        <v>3</v>
      </c>
      <c r="CZ12" s="13">
        <v>1652.28</v>
      </c>
      <c r="DA12" s="13">
        <f t="shared" ref="DA12:DA25" si="17">CY12*CZ12</f>
        <v>4956.84</v>
      </c>
      <c r="DB12" s="12">
        <f>(CZ12/CX12)-1</f>
        <v>-6.3476678739648684E-2</v>
      </c>
      <c r="DC12" s="15">
        <v>1739.27</v>
      </c>
      <c r="DD12" s="4">
        <v>0</v>
      </c>
      <c r="DE12" s="13">
        <v>1628.87</v>
      </c>
      <c r="DF12" s="13">
        <f t="shared" ref="DF12:DF25" si="18">DD12*DE12</f>
        <v>0</v>
      </c>
      <c r="DG12" s="12">
        <f>(DE12/DC12)-1</f>
        <v>-6.3474906138782372E-2</v>
      </c>
      <c r="DH12" s="13">
        <v>1639.36</v>
      </c>
      <c r="DI12" s="4">
        <v>0</v>
      </c>
      <c r="DJ12" s="13">
        <v>1535.3</v>
      </c>
      <c r="DK12" s="13">
        <f t="shared" ref="DK12:DK25" si="19">DI12*DJ12</f>
        <v>0</v>
      </c>
      <c r="DL12" s="12">
        <f>(DJ12/DH12)-1</f>
        <v>-6.347599063048992E-2</v>
      </c>
      <c r="DN12" s="3" t="s">
        <v>0</v>
      </c>
      <c r="DO12" s="13">
        <v>4402.95</v>
      </c>
      <c r="DP12" s="4">
        <v>6</v>
      </c>
      <c r="DQ12" s="13">
        <v>4403.47</v>
      </c>
      <c r="DR12" s="13">
        <f t="shared" ref="DR12:DR25" si="20">DP12*DQ12</f>
        <v>26420.82</v>
      </c>
      <c r="DS12" s="20">
        <f>(DQ12/DO12)-1</f>
        <v>1.1810263573286406E-4</v>
      </c>
      <c r="DU12" s="3" t="s">
        <v>0</v>
      </c>
      <c r="DV12" s="13">
        <v>3508.5</v>
      </c>
      <c r="DW12" s="4">
        <v>2</v>
      </c>
      <c r="DX12" s="13">
        <v>3508.92</v>
      </c>
      <c r="DY12" s="13">
        <f t="shared" ref="DY12:DY25" si="21">DW12*DX12</f>
        <v>7017.84</v>
      </c>
      <c r="DZ12" s="20">
        <f>(DX12/DV12)-1</f>
        <v>1.197092774689601E-4</v>
      </c>
      <c r="EB12" s="3" t="s">
        <v>0</v>
      </c>
      <c r="EC12" s="13">
        <v>3508.5</v>
      </c>
      <c r="ED12" s="4">
        <v>12</v>
      </c>
      <c r="EE12" s="13">
        <v>3508.92</v>
      </c>
      <c r="EF12" s="13">
        <f t="shared" ref="EF12:EF25" si="22">ED12*EE12</f>
        <v>42107.040000000001</v>
      </c>
      <c r="EG12" s="20">
        <f>(EE12/EC12)-1</f>
        <v>1.197092774689601E-4</v>
      </c>
      <c r="EI12" s="3" t="s">
        <v>0</v>
      </c>
      <c r="EJ12" s="13">
        <v>4291.62</v>
      </c>
      <c r="EK12" s="4">
        <v>2</v>
      </c>
      <c r="EL12" s="13">
        <v>4125.3900000000003</v>
      </c>
      <c r="EM12" s="13">
        <f>EK12*EL12</f>
        <v>8250.7800000000007</v>
      </c>
      <c r="EN12" s="20">
        <f>(EL12/EJ12)-1</f>
        <v>-3.8733625064660826E-2</v>
      </c>
      <c r="EO12" s="13">
        <v>2208.0700000000002</v>
      </c>
      <c r="EP12" s="4">
        <v>0</v>
      </c>
      <c r="EQ12" s="13">
        <v>1987.26</v>
      </c>
      <c r="ER12" s="13">
        <f>EP12*EQ12</f>
        <v>0</v>
      </c>
      <c r="ES12" s="20">
        <f>(EQ12/EO12)-1</f>
        <v>-0.10000135865257898</v>
      </c>
      <c r="ET12" s="13">
        <v>2883.51</v>
      </c>
      <c r="EU12" s="4">
        <v>0</v>
      </c>
      <c r="EV12" s="13">
        <v>2847.36</v>
      </c>
      <c r="EW12" s="13">
        <f>EU12*EV12</f>
        <v>0</v>
      </c>
      <c r="EX12" s="20">
        <f>(EV12/ET12)-1</f>
        <v>-1.2536804103332466E-2</v>
      </c>
      <c r="EY12" s="15">
        <v>2250.54</v>
      </c>
      <c r="EZ12" s="4">
        <v>0</v>
      </c>
      <c r="FA12" s="13">
        <v>2124.1999999999998</v>
      </c>
      <c r="FB12" s="13">
        <f>EZ12*FA12</f>
        <v>0</v>
      </c>
      <c r="FC12" s="20">
        <f>(FA12/EY12)-1</f>
        <v>-5.6137638077972452E-2</v>
      </c>
      <c r="FD12" s="15">
        <v>2033.76</v>
      </c>
      <c r="FE12" s="4">
        <v>0</v>
      </c>
      <c r="FF12" s="13">
        <v>1937.3</v>
      </c>
      <c r="FG12" s="13">
        <f>FE12*FF12</f>
        <v>0</v>
      </c>
      <c r="FH12" s="20">
        <f>(FF12/FD12)-1</f>
        <v>-4.7429391865313475E-2</v>
      </c>
      <c r="FI12" s="13">
        <v>1951.64</v>
      </c>
      <c r="FJ12" s="4">
        <v>0</v>
      </c>
      <c r="FK12" s="13">
        <v>1951.71</v>
      </c>
      <c r="FL12" s="13">
        <f>FJ12*FK12</f>
        <v>0</v>
      </c>
      <c r="FM12" s="20">
        <f>(FK12/FI12)-1</f>
        <v>3.5867270603118229E-5</v>
      </c>
      <c r="FN12" s="13">
        <v>1951.64</v>
      </c>
      <c r="FO12" s="4">
        <v>0</v>
      </c>
      <c r="FP12" s="13">
        <v>1756.64</v>
      </c>
      <c r="FQ12" s="13">
        <f>FO12*FP12</f>
        <v>0</v>
      </c>
      <c r="FR12" s="20">
        <f>(FP12/FN12)-1</f>
        <v>-9.9915968108872488E-2</v>
      </c>
      <c r="FS12" s="13">
        <v>1951.64</v>
      </c>
      <c r="FT12" s="4">
        <v>0</v>
      </c>
      <c r="FU12" s="13">
        <v>1859.06</v>
      </c>
      <c r="FV12" s="13">
        <f>FT12*FU12</f>
        <v>0</v>
      </c>
      <c r="FW12" s="20">
        <f>(FU12/FS12)-1</f>
        <v>-4.7437027320612501E-2</v>
      </c>
      <c r="FX12" s="15">
        <v>2230.75</v>
      </c>
      <c r="FY12" s="4">
        <v>0</v>
      </c>
      <c r="FZ12" s="13">
        <v>2066.4899999999998</v>
      </c>
      <c r="GA12" s="13">
        <f>FY12*FZ12</f>
        <v>0</v>
      </c>
      <c r="GB12" s="20">
        <f>(FZ12/FX12)-1</f>
        <v>-7.3634427882999121E-2</v>
      </c>
      <c r="GC12" s="13">
        <v>1840.13</v>
      </c>
      <c r="GD12" s="4">
        <v>0</v>
      </c>
      <c r="GE12" s="13">
        <v>1736.83</v>
      </c>
      <c r="GF12" s="13">
        <f>GD12*GE12</f>
        <v>0</v>
      </c>
      <c r="GG12" s="20">
        <f>(GE12/GC12)-1</f>
        <v>-5.6137338122850156E-2</v>
      </c>
      <c r="GH12" s="15">
        <v>2078.85</v>
      </c>
      <c r="GI12" s="4">
        <v>1</v>
      </c>
      <c r="GJ12" s="13">
        <v>1962.16</v>
      </c>
      <c r="GK12" s="13">
        <f>GI12*GJ12</f>
        <v>1962.16</v>
      </c>
      <c r="GL12" s="20">
        <f>(GJ12/GH12)-1</f>
        <v>-5.6131996055511335E-2</v>
      </c>
      <c r="GM12" s="15">
        <v>1637.23</v>
      </c>
      <c r="GN12" s="4">
        <v>0</v>
      </c>
      <c r="GO12" s="13">
        <v>1516.68</v>
      </c>
      <c r="GP12" s="13">
        <f>GN12*GO12</f>
        <v>0</v>
      </c>
      <c r="GQ12" s="20">
        <f>(GO12/GM12)-1</f>
        <v>-7.3630461205817066E-2</v>
      </c>
      <c r="GR12" s="13">
        <v>3559.03</v>
      </c>
      <c r="GS12" s="4">
        <v>0</v>
      </c>
      <c r="GT12" s="13">
        <v>3452.46</v>
      </c>
      <c r="GU12" s="13">
        <f>GS12*GT12</f>
        <v>0</v>
      </c>
      <c r="GV12" s="20">
        <f>(GT12/GR12)-1</f>
        <v>-2.9943552035245569E-2</v>
      </c>
      <c r="GW12" s="15">
        <v>1615.98</v>
      </c>
      <c r="GX12" s="4">
        <v>0</v>
      </c>
      <c r="GY12" s="13">
        <v>1497.01</v>
      </c>
      <c r="GZ12" s="13">
        <f>GX12*GY12</f>
        <v>0</v>
      </c>
      <c r="HA12" s="20">
        <f>(GY12/GW12)-1</f>
        <v>-7.3620960655453649E-2</v>
      </c>
      <c r="HB12" s="15">
        <v>2145.15</v>
      </c>
      <c r="HC12" s="4">
        <v>0</v>
      </c>
      <c r="HD12" s="13">
        <v>1987.21</v>
      </c>
      <c r="HE12" s="13">
        <f>HC12*HD12</f>
        <v>0</v>
      </c>
      <c r="HF12" s="20">
        <f>(HD12/HB12)-1</f>
        <v>-7.3626552921707167E-2</v>
      </c>
      <c r="HG12" s="15">
        <v>1520.45</v>
      </c>
      <c r="HH12" s="4">
        <v>0</v>
      </c>
      <c r="HI12" s="13">
        <v>1408.5</v>
      </c>
      <c r="HJ12" s="13">
        <f>HH12*HI12</f>
        <v>0</v>
      </c>
      <c r="HK12" s="20">
        <f>(HI12/HG12)-1</f>
        <v>-7.3629517577033177E-2</v>
      </c>
      <c r="HL12" s="13">
        <v>1538.09</v>
      </c>
      <c r="HM12" s="4">
        <v>2</v>
      </c>
      <c r="HN12" s="13">
        <v>1384.34</v>
      </c>
      <c r="HO12" s="13">
        <f>HM12*HN12</f>
        <v>2768.68</v>
      </c>
      <c r="HP12" s="20">
        <f>(HN12/HL12)-1</f>
        <v>-9.9961640736237811E-2</v>
      </c>
      <c r="HQ12" s="13">
        <v>1538.09</v>
      </c>
      <c r="HR12" s="4">
        <v>1</v>
      </c>
      <c r="HS12" s="13">
        <v>1424.84</v>
      </c>
      <c r="HT12" s="13">
        <f>HR12*HS12</f>
        <v>1424.84</v>
      </c>
      <c r="HU12" s="20">
        <f>(HS12/HQ12)-1</f>
        <v>-7.3630281713033652E-2</v>
      </c>
      <c r="HV12" s="13">
        <v>3866.51</v>
      </c>
      <c r="HW12" s="4">
        <v>0</v>
      </c>
      <c r="HX12" s="13">
        <v>3818.04</v>
      </c>
      <c r="HY12" s="13">
        <f>HW12*HX12</f>
        <v>0</v>
      </c>
      <c r="HZ12" s="20">
        <f>(HX12/HV12)-1</f>
        <v>-1.2535852745757858E-2</v>
      </c>
      <c r="IB12" s="3" t="s">
        <v>0</v>
      </c>
      <c r="IC12" s="15">
        <v>1298.47</v>
      </c>
      <c r="ID12" s="4">
        <v>0</v>
      </c>
      <c r="IE12" s="13">
        <v>1245.95</v>
      </c>
      <c r="IF12" s="13">
        <f t="shared" ref="IF12:IF25" si="23">ID12*IE12</f>
        <v>0</v>
      </c>
      <c r="IG12" s="20">
        <f>(IE12/IC12)-1</f>
        <v>-4.0447603718222203E-2</v>
      </c>
      <c r="IH12" s="13">
        <v>687.02</v>
      </c>
      <c r="II12" s="4">
        <v>0</v>
      </c>
      <c r="IJ12" s="13">
        <v>618.30999999999995</v>
      </c>
      <c r="IK12" s="13">
        <f t="shared" ref="IK12:IK25" si="24">II12*IJ12</f>
        <v>0</v>
      </c>
      <c r="IL12" s="20">
        <f>(IJ12/IH12)-1</f>
        <v>-0.10001164449361011</v>
      </c>
      <c r="IM12" s="13">
        <v>826.25</v>
      </c>
      <c r="IN12" s="4">
        <v>0</v>
      </c>
      <c r="IO12" s="13">
        <v>814.84</v>
      </c>
      <c r="IP12" s="13">
        <f t="shared" ref="IP12:IP25" si="25">IN12*IO12</f>
        <v>0</v>
      </c>
      <c r="IQ12" s="20">
        <f>(IO12/IM12)-1</f>
        <v>-1.3809379727685256E-2</v>
      </c>
      <c r="IR12" s="13">
        <v>691.1</v>
      </c>
      <c r="IS12" s="4">
        <v>0</v>
      </c>
      <c r="IT12" s="13">
        <v>650.91</v>
      </c>
      <c r="IU12" s="13">
        <f t="shared" ref="IU12:IU25" si="26">IS12*IT12</f>
        <v>0</v>
      </c>
      <c r="IV12" s="20">
        <f>(IT12/IR12)-1</f>
        <v>-5.8153668065403008E-2</v>
      </c>
      <c r="IW12" s="15">
        <v>578.95000000000005</v>
      </c>
      <c r="IX12" s="4">
        <v>0</v>
      </c>
      <c r="IY12" s="13">
        <v>545.27</v>
      </c>
      <c r="IZ12" s="13">
        <f t="shared" ref="IZ12:IZ25" si="27">IX12*IY12</f>
        <v>0</v>
      </c>
      <c r="JA12" s="20">
        <f>(IY12/IW12)-1</f>
        <v>-5.8174281025995422E-2</v>
      </c>
      <c r="JB12" s="13">
        <v>617.69000000000005</v>
      </c>
      <c r="JC12" s="4">
        <v>0</v>
      </c>
      <c r="JD12" s="13">
        <v>617.69000000000005</v>
      </c>
      <c r="JE12" s="13">
        <f t="shared" ref="JE12:JE25" si="28">JC12*JD12</f>
        <v>0</v>
      </c>
      <c r="JF12" s="20">
        <f>(JD12/JB12)-1</f>
        <v>0</v>
      </c>
      <c r="JG12" s="13">
        <v>617.69000000000005</v>
      </c>
      <c r="JH12" s="4">
        <v>0</v>
      </c>
      <c r="JI12" s="13">
        <v>555.91999999999996</v>
      </c>
      <c r="JJ12" s="13">
        <f t="shared" ref="JJ12:JJ25" si="29">JH12*JI12</f>
        <v>0</v>
      </c>
      <c r="JK12" s="20">
        <f>(JI12/JG12)-1</f>
        <v>-0.10000161893506465</v>
      </c>
      <c r="JL12" s="13">
        <v>617.69000000000005</v>
      </c>
      <c r="JM12" s="4">
        <v>0</v>
      </c>
      <c r="JN12" s="13">
        <v>592.70000000000005</v>
      </c>
      <c r="JO12" s="13">
        <f t="shared" ref="JO12:JO25" si="30">JM12*JN12</f>
        <v>0</v>
      </c>
      <c r="JP12" s="20">
        <f>(JN12/JL12)-1</f>
        <v>-4.0457187262218919E-2</v>
      </c>
      <c r="JQ12" s="15">
        <v>711.73</v>
      </c>
      <c r="JR12" s="4">
        <v>0</v>
      </c>
      <c r="JS12" s="13">
        <v>670.33</v>
      </c>
      <c r="JT12" s="13">
        <f t="shared" ref="JT12:JT25" si="31">JR12*JS12</f>
        <v>0</v>
      </c>
      <c r="JU12" s="20">
        <f>(JS12/JQ12)-1</f>
        <v>-5.8168125553229366E-2</v>
      </c>
      <c r="JV12" s="15">
        <v>577.9</v>
      </c>
      <c r="JW12" s="4">
        <v>0</v>
      </c>
      <c r="JX12" s="13">
        <v>544.29</v>
      </c>
      <c r="JY12" s="13">
        <f t="shared" ref="JY12:JY25" si="32">JW12*JX12</f>
        <v>0</v>
      </c>
      <c r="JZ12" s="20">
        <f>(JX12/JV12)-1</f>
        <v>-5.8158851012285906E-2</v>
      </c>
      <c r="KA12" s="13">
        <v>663.17</v>
      </c>
      <c r="KB12" s="4">
        <v>0</v>
      </c>
      <c r="KC12" s="13">
        <v>630.5</v>
      </c>
      <c r="KD12" s="13">
        <f t="shared" ref="KD12:KD25" si="33">KB12*KC12</f>
        <v>0</v>
      </c>
      <c r="KE12" s="20">
        <f>(KC12/KA12)-1</f>
        <v>-4.9263386461993131E-2</v>
      </c>
      <c r="KF12" s="15">
        <v>514.02</v>
      </c>
      <c r="KG12" s="4">
        <v>3</v>
      </c>
      <c r="KH12" s="13">
        <v>484.12</v>
      </c>
      <c r="KI12" s="13">
        <f t="shared" ref="KI12:KI25" si="34">KG12*KH12</f>
        <v>1452.3600000000001</v>
      </c>
      <c r="KJ12" s="20">
        <f>(KH12/KF12)-1</f>
        <v>-5.8168942842690918E-2</v>
      </c>
      <c r="KK12" s="15">
        <v>855.47</v>
      </c>
      <c r="KL12" s="4">
        <v>0</v>
      </c>
      <c r="KM12" s="13">
        <v>843.66</v>
      </c>
      <c r="KN12" s="13">
        <f t="shared" ref="KN12:KN25" si="35">KL12*KM12</f>
        <v>0</v>
      </c>
      <c r="KO12" s="20">
        <f>(KM12/KK12)-1</f>
        <v>-1.3805276631559282E-2</v>
      </c>
      <c r="KP12" s="15">
        <v>511.67</v>
      </c>
      <c r="KQ12" s="4">
        <v>0</v>
      </c>
      <c r="KR12" s="13">
        <v>481.9</v>
      </c>
      <c r="KS12" s="13">
        <f t="shared" ref="KS12:KS25" si="36">KQ12*KR12</f>
        <v>0</v>
      </c>
      <c r="KT12" s="20">
        <f>(KR12/KP12)-1</f>
        <v>-5.8182031387417732E-2</v>
      </c>
      <c r="KU12" s="13">
        <v>651.74</v>
      </c>
      <c r="KV12" s="4">
        <v>2</v>
      </c>
      <c r="KW12" s="13">
        <v>613.83000000000004</v>
      </c>
      <c r="KX12" s="13">
        <f t="shared" ref="KX12:KX25" si="37">KV12*KW12</f>
        <v>1227.6600000000001</v>
      </c>
      <c r="KY12" s="20">
        <f>(KW12/KU12)-1</f>
        <v>-5.8167367355080213E-2</v>
      </c>
      <c r="KZ12" s="15">
        <v>482.32</v>
      </c>
      <c r="LA12" s="4">
        <v>0</v>
      </c>
      <c r="LB12" s="13">
        <v>454.26</v>
      </c>
      <c r="LC12" s="13">
        <f t="shared" ref="LC12:LC25" si="38">LA12*LB12</f>
        <v>0</v>
      </c>
      <c r="LD12" s="20">
        <f>(LB12/KZ12)-1</f>
        <v>-5.8177143804942766E-2</v>
      </c>
      <c r="LE12" s="13">
        <v>483.32</v>
      </c>
      <c r="LF12" s="4">
        <v>24</v>
      </c>
      <c r="LG12" s="13">
        <v>435.04</v>
      </c>
      <c r="LH12" s="13">
        <f t="shared" ref="LH12:LH25" si="39">LF12*LG12</f>
        <v>10440.960000000001</v>
      </c>
      <c r="LI12" s="20">
        <f>(LG12/LE12)-1</f>
        <v>-9.9892410825126121E-2</v>
      </c>
      <c r="LJ12" s="13">
        <v>483.32</v>
      </c>
      <c r="LK12" s="4">
        <v>0</v>
      </c>
      <c r="LL12" s="13">
        <v>455.2</v>
      </c>
      <c r="LM12" s="13">
        <f t="shared" ref="LM12:LM25" si="40">LK12*LL12</f>
        <v>0</v>
      </c>
      <c r="LN12" s="20">
        <f>(LL12/LJ12)-1</f>
        <v>-5.818091533559544E-2</v>
      </c>
      <c r="LO12" s="15">
        <v>983.45</v>
      </c>
      <c r="LP12" s="4">
        <v>0</v>
      </c>
      <c r="LQ12" s="13">
        <v>935.01</v>
      </c>
      <c r="LR12" s="13">
        <f t="shared" ref="LR12:LR25" si="41">LP12*LQ12</f>
        <v>0</v>
      </c>
      <c r="LS12" s="20">
        <f>(LQ12/LO12)-1</f>
        <v>-4.9255173115054229E-2</v>
      </c>
      <c r="LU12" s="3" t="s">
        <v>0</v>
      </c>
      <c r="LV12" s="13">
        <v>3893.25</v>
      </c>
      <c r="LW12" s="4">
        <v>0</v>
      </c>
      <c r="LX12" s="13">
        <v>3745.44</v>
      </c>
      <c r="LY12" s="13">
        <f t="shared" ref="LY12:LY25" si="42">LW12*LX12</f>
        <v>0</v>
      </c>
      <c r="LZ12" s="12">
        <f>(LX12/LV12)-1</f>
        <v>-3.7965709882488929E-2</v>
      </c>
      <c r="MA12" s="13">
        <v>2075.89</v>
      </c>
      <c r="MB12" s="4">
        <v>3</v>
      </c>
      <c r="MC12" s="13">
        <v>1868.37</v>
      </c>
      <c r="MD12" s="13">
        <f t="shared" ref="MD12:MD25" si="43">MB12*MC12</f>
        <v>5605.11</v>
      </c>
      <c r="ME12" s="12">
        <f>(MC12/MA12)-1</f>
        <v>-9.9966761244574598E-2</v>
      </c>
      <c r="MF12" s="13">
        <v>2535.08</v>
      </c>
      <c r="MG12" s="4">
        <v>1</v>
      </c>
      <c r="MH12" s="13">
        <v>2483.61</v>
      </c>
      <c r="MI12" s="13">
        <f t="shared" ref="MI12:MI25" si="44">MG12*MH12</f>
        <v>2483.61</v>
      </c>
      <c r="MJ12" s="12">
        <f>(MH12/MF12)-1</f>
        <v>-2.0303106805307891E-2</v>
      </c>
      <c r="MK12" s="15">
        <v>2086.98</v>
      </c>
      <c r="ML12" s="4">
        <v>0</v>
      </c>
      <c r="MM12" s="13">
        <v>1989.41</v>
      </c>
      <c r="MN12" s="13">
        <f t="shared" ref="MN12:MN25" si="45">ML12*MM12</f>
        <v>0</v>
      </c>
      <c r="MO12" s="12">
        <f>(MM12/MK12)-1</f>
        <v>-4.6751765709302395E-2</v>
      </c>
      <c r="MP12" s="13">
        <v>2007.88</v>
      </c>
      <c r="MQ12" s="4">
        <v>3</v>
      </c>
      <c r="MR12" s="13">
        <v>1931.64</v>
      </c>
      <c r="MS12" s="13">
        <f t="shared" ref="MS12:MS25" si="46">MQ12*MR12</f>
        <v>5794.92</v>
      </c>
      <c r="MT12" s="12">
        <f>(MR12/MP12)-1</f>
        <v>-3.7970396637249215E-2</v>
      </c>
      <c r="MU12" s="13">
        <v>1835.01</v>
      </c>
      <c r="MV12" s="4">
        <v>14</v>
      </c>
      <c r="MW12" s="13">
        <v>1835.17</v>
      </c>
      <c r="MX12" s="13">
        <f t="shared" ref="MX12:MX25" si="47">MV12*MW12</f>
        <v>25692.38</v>
      </c>
      <c r="MY12" s="12">
        <f>(MW12/MU12)-1</f>
        <v>8.7192985324335837E-5</v>
      </c>
      <c r="MZ12" s="13">
        <v>1835.01</v>
      </c>
      <c r="NA12" s="4">
        <v>0</v>
      </c>
      <c r="NB12" s="13">
        <v>1651.58</v>
      </c>
      <c r="NC12" s="13">
        <f t="shared" ref="NC12:NC25" si="48">NA12*NB12</f>
        <v>0</v>
      </c>
      <c r="ND12" s="12">
        <f>(NB12/MZ12)-1</f>
        <v>-9.9961308112762381E-2</v>
      </c>
      <c r="NE12" s="13">
        <v>1835.01</v>
      </c>
      <c r="NF12" s="4">
        <v>3</v>
      </c>
      <c r="NG12" s="13">
        <v>1749.21</v>
      </c>
      <c r="NH12" s="13">
        <f t="shared" ref="NH12:NH25" si="49">NF12*NG12</f>
        <v>5247.63</v>
      </c>
      <c r="NI12" s="12">
        <f>(NG12/NE12)-1</f>
        <v>-4.6757238380172317E-2</v>
      </c>
      <c r="NJ12" s="13">
        <v>2111.21</v>
      </c>
      <c r="NK12" s="4">
        <v>4</v>
      </c>
      <c r="NL12" s="13">
        <v>1975.2</v>
      </c>
      <c r="NM12" s="13">
        <f t="shared" ref="NM12:NM25" si="50">NK12*NL12</f>
        <v>7900.8</v>
      </c>
      <c r="NN12" s="12">
        <f>(NL12/NJ12)-1</f>
        <v>-6.4422771775427323E-2</v>
      </c>
      <c r="NO12" s="13">
        <v>1732.02</v>
      </c>
      <c r="NP12" s="4">
        <v>2</v>
      </c>
      <c r="NQ12" s="13">
        <v>1651.04</v>
      </c>
      <c r="NR12" s="13">
        <f t="shared" ref="NR12:NR25" si="51">NP12*NQ12</f>
        <v>3302.08</v>
      </c>
      <c r="NS12" s="12">
        <f>(NQ12/NO12)-1</f>
        <v>-4.6754656412743567E-2</v>
      </c>
      <c r="NT12" s="13">
        <v>1966.97</v>
      </c>
      <c r="NU12" s="4">
        <v>0</v>
      </c>
      <c r="NV12" s="13">
        <v>1875</v>
      </c>
      <c r="NW12" s="13">
        <f t="shared" ref="NW12:NW25" si="52">NU12*NV12</f>
        <v>0</v>
      </c>
      <c r="NX12" s="12">
        <f>(NV12/NT12)-1</f>
        <v>-4.6757195076691627E-2</v>
      </c>
      <c r="NY12" s="13">
        <v>1540.2</v>
      </c>
      <c r="NZ12" s="4">
        <v>0</v>
      </c>
      <c r="OA12" s="13">
        <v>1440.97</v>
      </c>
      <c r="OB12" s="13">
        <f t="shared" ref="OB12:OB25" si="53">NZ12*OA12</f>
        <v>0</v>
      </c>
      <c r="OC12" s="12">
        <f>(OA12/NY12)-1</f>
        <v>-6.4426697831450497E-2</v>
      </c>
      <c r="OD12" s="15">
        <v>2832.7</v>
      </c>
      <c r="OE12" s="4">
        <v>0</v>
      </c>
      <c r="OF12" s="13">
        <v>2775.2</v>
      </c>
      <c r="OG12" s="13">
        <f t="shared" ref="OG12:OG25" si="54">OE12*OF12</f>
        <v>0</v>
      </c>
      <c r="OH12" s="12">
        <f>(OF12/OD12)-1</f>
        <v>-2.0298654993469167E-2</v>
      </c>
      <c r="OI12" s="15">
        <v>1518.36</v>
      </c>
      <c r="OJ12" s="4">
        <v>0</v>
      </c>
      <c r="OK12" s="13">
        <v>1420.55</v>
      </c>
      <c r="OL12" s="13">
        <f t="shared" ref="OL12:OL25" si="55">OJ12*OK12</f>
        <v>0</v>
      </c>
      <c r="OM12" s="12">
        <f>(OK12/OI12)-1</f>
        <v>-6.4418188044995883E-2</v>
      </c>
      <c r="ON12" s="13">
        <v>1930.22</v>
      </c>
      <c r="OO12" s="4">
        <v>0</v>
      </c>
      <c r="OP12" s="13">
        <v>1805.87</v>
      </c>
      <c r="OQ12" s="13">
        <f t="shared" ref="OQ12:OQ25" si="56">OO12*OP12</f>
        <v>0</v>
      </c>
      <c r="OR12" s="12">
        <f>(OP12/ON12)-1</f>
        <v>-6.4422708292319109E-2</v>
      </c>
      <c r="OS12" s="13">
        <v>1431.14</v>
      </c>
      <c r="OT12" s="4">
        <v>3</v>
      </c>
      <c r="OU12" s="13">
        <v>1338.95</v>
      </c>
      <c r="OV12" s="13">
        <f t="shared" ref="OV12:OV25" si="57">OT12*OU12</f>
        <v>4016.8500000000004</v>
      </c>
      <c r="OW12" s="12">
        <f>(OU12/OS12)-1</f>
        <v>-6.4417177914110502E-2</v>
      </c>
      <c r="OX12" s="13">
        <v>1448.55</v>
      </c>
      <c r="OY12" s="4">
        <v>0</v>
      </c>
      <c r="OZ12" s="13">
        <v>1303.74</v>
      </c>
      <c r="PA12" s="13">
        <f t="shared" ref="PA12:PA25" si="58">OY12*OZ12</f>
        <v>0</v>
      </c>
      <c r="PB12" s="12">
        <f>(OZ12/OX12)-1</f>
        <v>-9.9968934451693081E-2</v>
      </c>
      <c r="PC12" s="13">
        <v>1448.55</v>
      </c>
      <c r="PD12" s="4">
        <v>5</v>
      </c>
      <c r="PE12" s="13">
        <v>1380.81</v>
      </c>
      <c r="PF12" s="13">
        <f t="shared" ref="PF12:PF25" si="59">PD12*PE12</f>
        <v>6904.0499999999993</v>
      </c>
      <c r="PG12" s="12">
        <f>(PE12/PC12)-1</f>
        <v>-4.6764005384695051E-2</v>
      </c>
      <c r="PH12" s="13">
        <v>2918.71</v>
      </c>
      <c r="PI12" s="4">
        <v>0</v>
      </c>
      <c r="PJ12" s="13">
        <v>2807.89</v>
      </c>
      <c r="PK12" s="13">
        <f t="shared" ref="PK12:PK25" si="60">PI12*PJ12</f>
        <v>0</v>
      </c>
      <c r="PL12" s="12">
        <f>(PJ12/PH12)-1</f>
        <v>-3.7968828694868728E-2</v>
      </c>
      <c r="PN12" s="3" t="s">
        <v>0</v>
      </c>
      <c r="PO12" s="15">
        <v>3652.92</v>
      </c>
      <c r="PP12" s="4"/>
      <c r="PQ12" s="13"/>
      <c r="PR12" s="13">
        <f t="shared" ref="PR12:PR25" si="61">PP12*PQ12</f>
        <v>0</v>
      </c>
      <c r="PS12" s="12">
        <f>(PQ12/PO12)-1</f>
        <v>-1</v>
      </c>
      <c r="PT12" s="13">
        <v>1947.74</v>
      </c>
      <c r="PU12" s="4">
        <v>0</v>
      </c>
      <c r="PV12" s="13"/>
      <c r="PW12" s="13">
        <f t="shared" ref="PW12:PW25" si="62">PU12*PV12</f>
        <v>0</v>
      </c>
      <c r="PX12" s="12">
        <f>(PV12/PT12)-1</f>
        <v>-1</v>
      </c>
      <c r="PY12" s="13">
        <v>2378.59</v>
      </c>
      <c r="PZ12" s="4">
        <v>0</v>
      </c>
      <c r="QA12" s="13"/>
      <c r="QB12" s="13">
        <f t="shared" ref="QB12:QB25" si="63">PZ12*QA12</f>
        <v>0</v>
      </c>
      <c r="QC12" s="12">
        <f>(QA12/PY12)-1</f>
        <v>-1</v>
      </c>
      <c r="QD12" s="15">
        <v>1958.15</v>
      </c>
      <c r="QE12" s="4"/>
      <c r="QF12" s="13"/>
      <c r="QG12" s="13">
        <f t="shared" ref="QG12:QG25" si="64">QE12*QF12</f>
        <v>0</v>
      </c>
      <c r="QH12" s="12">
        <f>(QF12/QD12)-1</f>
        <v>-1</v>
      </c>
      <c r="QI12" s="15">
        <v>1883.93</v>
      </c>
      <c r="QJ12" s="4"/>
      <c r="QK12" s="13"/>
      <c r="QL12" s="13">
        <f t="shared" ref="QL12:QL25" si="65">QJ12*QK12</f>
        <v>0</v>
      </c>
      <c r="QM12" s="12">
        <f>(QK12/QI12)-1</f>
        <v>-1</v>
      </c>
      <c r="QN12" s="15">
        <v>1721.74</v>
      </c>
      <c r="QO12" s="4"/>
      <c r="QP12" s="13"/>
      <c r="QQ12" s="13">
        <f t="shared" ref="QQ12:QQ25" si="66">QO12*QP12</f>
        <v>0</v>
      </c>
      <c r="QR12" s="12">
        <f>(QP12/QN12)-1</f>
        <v>-1</v>
      </c>
      <c r="QS12" s="15">
        <v>1980.89</v>
      </c>
      <c r="QT12" s="4"/>
      <c r="QU12" s="13"/>
      <c r="QV12" s="13">
        <f t="shared" ref="QV12:QV25" si="67">QT12*QU12</f>
        <v>0</v>
      </c>
      <c r="QW12" s="12">
        <f>(QU12/QS12)-1</f>
        <v>-1</v>
      </c>
      <c r="QX12" s="15">
        <v>1625.1</v>
      </c>
      <c r="QY12" s="4"/>
      <c r="QZ12" s="13"/>
      <c r="RA12" s="13">
        <f t="shared" ref="RA12:RA25" si="68">QY12*QZ12</f>
        <v>0</v>
      </c>
      <c r="RB12" s="12">
        <f>(QZ12/QX12)-1</f>
        <v>-1</v>
      </c>
      <c r="RC12" s="15">
        <v>1845.55</v>
      </c>
      <c r="RD12" s="4"/>
      <c r="RE12" s="13"/>
      <c r="RF12" s="13">
        <f t="shared" ref="RF12:RF25" si="69">RD12*RE12</f>
        <v>0</v>
      </c>
      <c r="RG12" s="12">
        <f>(RE12/RC12)-1</f>
        <v>-1</v>
      </c>
      <c r="RH12" s="15">
        <v>1445.12</v>
      </c>
      <c r="RI12" s="4"/>
      <c r="RJ12" s="13"/>
      <c r="RK12" s="13">
        <f t="shared" ref="RK12:RK25" si="70">RI12*RJ12</f>
        <v>0</v>
      </c>
      <c r="RL12" s="12">
        <f>(RJ12/RH12)-1</f>
        <v>-1</v>
      </c>
      <c r="RM12" s="15">
        <v>2657.83</v>
      </c>
      <c r="RN12" s="4"/>
      <c r="RO12" s="13"/>
      <c r="RP12" s="13">
        <f t="shared" ref="RP12:RP25" si="71">RN12*RO12</f>
        <v>0</v>
      </c>
      <c r="RQ12" s="12">
        <f>(RO12/RM12)-1</f>
        <v>-1</v>
      </c>
      <c r="RR12" s="15">
        <v>1424.63</v>
      </c>
      <c r="RS12" s="4"/>
      <c r="RT12" s="13"/>
      <c r="RU12" s="13">
        <f t="shared" ref="RU12:RU25" si="72">RS12*RT12</f>
        <v>0</v>
      </c>
      <c r="RV12" s="12">
        <f>(RT12/RR12)-1</f>
        <v>-1</v>
      </c>
      <c r="RW12" s="15">
        <v>1811.07</v>
      </c>
      <c r="RX12" s="4"/>
      <c r="RY12" s="13"/>
      <c r="RZ12" s="13">
        <f t="shared" ref="RZ12:RZ25" si="73">RX12*RY12</f>
        <v>0</v>
      </c>
      <c r="SA12" s="12">
        <f>(RY12/RW12)-1</f>
        <v>-1</v>
      </c>
      <c r="SB12" s="15">
        <v>1342.8</v>
      </c>
      <c r="SC12" s="4"/>
      <c r="SD12" s="13"/>
      <c r="SE12" s="13">
        <f t="shared" ref="SE12:SE25" si="74">SC12*SD12</f>
        <v>0</v>
      </c>
      <c r="SF12" s="12">
        <f>(SD12/SB12)-1</f>
        <v>-1</v>
      </c>
      <c r="SG12" s="15">
        <v>1359.13</v>
      </c>
      <c r="SH12" s="4"/>
      <c r="SI12" s="13"/>
      <c r="SJ12" s="13">
        <f t="shared" ref="SJ12:SJ25" si="75">SH12*SI12</f>
        <v>0</v>
      </c>
      <c r="SK12" s="12">
        <f>(SI12/SG12)-1</f>
        <v>-1</v>
      </c>
      <c r="SL12" s="15">
        <v>2738.54</v>
      </c>
      <c r="SM12" s="4"/>
      <c r="SN12" s="13"/>
      <c r="SO12" s="13">
        <f t="shared" ref="SO12:SO25" si="76">SM12*SN12</f>
        <v>0</v>
      </c>
      <c r="SP12" s="12">
        <f>(SN12/SL12)-1</f>
        <v>-1</v>
      </c>
    </row>
    <row r="13" spans="1:510" x14ac:dyDescent="0.25">
      <c r="A13" s="3" t="s">
        <v>1</v>
      </c>
      <c r="B13" s="13">
        <v>3909.49</v>
      </c>
      <c r="C13" s="4">
        <v>0</v>
      </c>
      <c r="D13" s="13">
        <v>3518.53</v>
      </c>
      <c r="E13" s="13">
        <f t="shared" ref="E13:E25" si="77">C13*D13</f>
        <v>0</v>
      </c>
      <c r="F13" s="20">
        <f t="shared" ref="F13:F25" si="78">(D13/B13)-1</f>
        <v>-0.10000281366623254</v>
      </c>
      <c r="H13" s="3" t="s">
        <v>1</v>
      </c>
      <c r="I13" s="13">
        <v>968.27</v>
      </c>
      <c r="J13" s="4">
        <v>0</v>
      </c>
      <c r="K13" s="13">
        <v>871.48</v>
      </c>
      <c r="L13" s="13">
        <f t="shared" si="0"/>
        <v>0</v>
      </c>
      <c r="M13" s="20">
        <f t="shared" ref="M13:M25" si="79">(K13/I13)-1</f>
        <v>-9.9961787517944378E-2</v>
      </c>
      <c r="O13" s="3" t="s">
        <v>1</v>
      </c>
      <c r="P13" s="13">
        <v>2880.66</v>
      </c>
      <c r="Q13" s="4">
        <v>1</v>
      </c>
      <c r="R13" s="13">
        <v>2592.59</v>
      </c>
      <c r="S13" s="13">
        <f t="shared" si="1"/>
        <v>2592.59</v>
      </c>
      <c r="T13" s="20">
        <f t="shared" ref="T13:T25" si="80">(R13/P13)-1</f>
        <v>-0.10000138857067464</v>
      </c>
      <c r="V13" s="3" t="s">
        <v>1</v>
      </c>
      <c r="W13" s="15">
        <v>3986.12</v>
      </c>
      <c r="X13" s="4">
        <v>0</v>
      </c>
      <c r="Y13" s="13">
        <v>3748.48</v>
      </c>
      <c r="Z13" s="13">
        <f t="shared" si="2"/>
        <v>0</v>
      </c>
      <c r="AA13" s="12">
        <f t="shared" ref="AA13:AA25" si="81">(Y13/W13)-1</f>
        <v>-5.9616870540776468E-2</v>
      </c>
      <c r="AB13" s="15">
        <v>3456.71</v>
      </c>
      <c r="AC13" s="4">
        <v>0</v>
      </c>
      <c r="AD13" s="13">
        <v>3280.6</v>
      </c>
      <c r="AE13" s="13">
        <f t="shared" si="3"/>
        <v>0</v>
      </c>
      <c r="AF13" s="12">
        <f t="shared" ref="AF13:AF25" si="82">(AD13/AB13)-1</f>
        <v>-5.0947288028211801E-2</v>
      </c>
      <c r="AG13" s="33">
        <v>3226.15</v>
      </c>
      <c r="AH13" s="4">
        <v>0</v>
      </c>
      <c r="AI13" s="13">
        <v>3064.91</v>
      </c>
      <c r="AJ13" s="13">
        <f t="shared" si="4"/>
        <v>0</v>
      </c>
      <c r="AK13" s="12">
        <f t="shared" ref="AK13:AK25" si="83">(AI13/AG13)-1</f>
        <v>-4.9979077228275215E-2</v>
      </c>
      <c r="AL13" s="15">
        <v>2899.83</v>
      </c>
      <c r="AM13" s="4">
        <v>0</v>
      </c>
      <c r="AN13" s="13">
        <v>2676.41</v>
      </c>
      <c r="AO13" s="13">
        <f t="shared" si="5"/>
        <v>0</v>
      </c>
      <c r="AP13" s="12">
        <f t="shared" ref="AP13:AP25" si="84">(AN13/AL13)-1</f>
        <v>-7.7045895793891428E-2</v>
      </c>
      <c r="AQ13" s="15">
        <v>2862.21</v>
      </c>
      <c r="AR13" s="4">
        <v>0</v>
      </c>
      <c r="AS13" s="13">
        <v>2641.69</v>
      </c>
      <c r="AT13" s="13">
        <f t="shared" si="6"/>
        <v>0</v>
      </c>
      <c r="AU13" s="12">
        <f t="shared" ref="AU13:AU25" si="85">(AS13/AQ13)-1</f>
        <v>-7.7045360053944356E-2</v>
      </c>
      <c r="AV13" s="33">
        <v>2665.67</v>
      </c>
      <c r="AW13" s="4">
        <v>0</v>
      </c>
      <c r="AX13" s="13">
        <v>2485.5100000000002</v>
      </c>
      <c r="AY13" s="13">
        <f t="shared" si="7"/>
        <v>0</v>
      </c>
      <c r="AZ13" s="12">
        <f t="shared" ref="AZ13:AZ25" si="86">(AX13/AV13)-1</f>
        <v>-6.7585259990921576E-2</v>
      </c>
      <c r="BB13" s="3" t="s">
        <v>1</v>
      </c>
      <c r="BC13" s="15">
        <v>968.27</v>
      </c>
      <c r="BD13" s="4">
        <v>0</v>
      </c>
      <c r="BE13" s="13">
        <v>919.9</v>
      </c>
      <c r="BF13" s="13">
        <f t="shared" si="8"/>
        <v>0</v>
      </c>
      <c r="BG13" s="12">
        <f t="shared" ref="BG13:BG25" si="87">(BE13/BC13)-1</f>
        <v>-4.9955074514340003E-2</v>
      </c>
      <c r="BH13" s="15">
        <v>865.4</v>
      </c>
      <c r="BI13" s="4">
        <v>0</v>
      </c>
      <c r="BJ13" s="13">
        <v>837.64</v>
      </c>
      <c r="BK13" s="13">
        <f t="shared" si="9"/>
        <v>0</v>
      </c>
      <c r="BL13" s="12">
        <f t="shared" ref="BL13:BL25" si="88">(BJ13/BH13)-1</f>
        <v>-3.2077651952854169E-2</v>
      </c>
      <c r="BM13" s="13">
        <v>809.68</v>
      </c>
      <c r="BN13" s="4">
        <v>0</v>
      </c>
      <c r="BO13" s="13">
        <v>769.23</v>
      </c>
      <c r="BP13" s="13">
        <f t="shared" si="10"/>
        <v>0</v>
      </c>
      <c r="BQ13" s="12">
        <f t="shared" ref="BQ13:BQ25" si="89">(BO13/BM13)-1</f>
        <v>-4.9958008101966156E-2</v>
      </c>
      <c r="BR13" s="13">
        <v>720.16</v>
      </c>
      <c r="BS13" s="4">
        <v>0</v>
      </c>
      <c r="BT13" s="13">
        <v>684.19</v>
      </c>
      <c r="BU13" s="13">
        <f t="shared" si="11"/>
        <v>0</v>
      </c>
      <c r="BV13" s="12">
        <f t="shared" ref="BV13:BV25" si="90">(BT13/BR13)-1</f>
        <v>-4.9947233948011482E-2</v>
      </c>
      <c r="BW13" s="15">
        <v>716.86</v>
      </c>
      <c r="BX13" s="4">
        <v>0</v>
      </c>
      <c r="BY13" s="13">
        <v>681.06</v>
      </c>
      <c r="BZ13" s="13">
        <f t="shared" si="12"/>
        <v>0</v>
      </c>
      <c r="CA13" s="12">
        <f t="shared" ref="CA13:CA25" si="91">(BY13/BW13)-1</f>
        <v>-4.9940016181681313E-2</v>
      </c>
      <c r="CB13" s="15">
        <v>675.75</v>
      </c>
      <c r="CC13" s="4">
        <v>0</v>
      </c>
      <c r="CD13" s="13">
        <v>641.99</v>
      </c>
      <c r="CE13" s="13">
        <f t="shared" si="13"/>
        <v>0</v>
      </c>
      <c r="CF13" s="12">
        <f t="shared" ref="CF13:CF25" si="92">(CD13/CB13)-1</f>
        <v>-4.9959304476507538E-2</v>
      </c>
      <c r="CH13" s="3" t="s">
        <v>1</v>
      </c>
      <c r="CI13" s="13">
        <v>2914.54</v>
      </c>
      <c r="CJ13" s="4">
        <v>0</v>
      </c>
      <c r="CK13" s="13">
        <v>2781.08</v>
      </c>
      <c r="CL13" s="13">
        <f t="shared" si="14"/>
        <v>0</v>
      </c>
      <c r="CM13" s="12">
        <f t="shared" ref="CM13:CM25" si="93">(CK13/CI13)-1</f>
        <v>-4.5791102541052786E-2</v>
      </c>
      <c r="CN13" s="15">
        <v>2562.65</v>
      </c>
      <c r="CO13" s="4">
        <v>0</v>
      </c>
      <c r="CP13" s="13">
        <v>2445.31</v>
      </c>
      <c r="CQ13" s="13">
        <f t="shared" si="15"/>
        <v>0</v>
      </c>
      <c r="CR13" s="12">
        <f t="shared" ref="CR13:CR25" si="94">(CP13/CN13)-1</f>
        <v>-4.5788539207461065E-2</v>
      </c>
      <c r="CS13" s="13">
        <v>2418.8200000000002</v>
      </c>
      <c r="CT13" s="4">
        <v>1</v>
      </c>
      <c r="CU13" s="13">
        <v>2308.0500000000002</v>
      </c>
      <c r="CV13" s="13">
        <f t="shared" si="16"/>
        <v>2308.0500000000002</v>
      </c>
      <c r="CW13" s="12">
        <f t="shared" ref="CW13:CW25" si="95">(CU13/CS13)-1</f>
        <v>-4.5795057093954927E-2</v>
      </c>
      <c r="CX13" s="13">
        <v>2150.92</v>
      </c>
      <c r="CY13" s="4">
        <v>0</v>
      </c>
      <c r="CZ13" s="13">
        <v>2014.39</v>
      </c>
      <c r="DA13" s="13">
        <f t="shared" si="17"/>
        <v>0</v>
      </c>
      <c r="DB13" s="12">
        <f t="shared" ref="DB13:DB25" si="96">(CZ13/CX13)-1</f>
        <v>-6.3475164115820215E-2</v>
      </c>
      <c r="DC13" s="15">
        <v>2120.4499999999998</v>
      </c>
      <c r="DD13" s="4">
        <v>0</v>
      </c>
      <c r="DE13" s="13">
        <v>1985.84</v>
      </c>
      <c r="DF13" s="13">
        <f t="shared" si="18"/>
        <v>0</v>
      </c>
      <c r="DG13" s="12">
        <f t="shared" ref="DG13:DG25" si="97">(DE13/DC13)-1</f>
        <v>-6.3481808106769733E-2</v>
      </c>
      <c r="DH13" s="13">
        <v>1998.64</v>
      </c>
      <c r="DI13" s="4">
        <v>1</v>
      </c>
      <c r="DJ13" s="13">
        <v>1871.76</v>
      </c>
      <c r="DK13" s="13">
        <f t="shared" si="19"/>
        <v>1871.76</v>
      </c>
      <c r="DL13" s="12">
        <f t="shared" ref="DL13:DL25" si="98">(DJ13/DH13)-1</f>
        <v>-6.348316855461722E-2</v>
      </c>
      <c r="DN13" s="3" t="s">
        <v>1</v>
      </c>
      <c r="DO13" s="13">
        <v>6763.52</v>
      </c>
      <c r="DP13" s="4">
        <v>1</v>
      </c>
      <c r="DQ13" s="13">
        <v>6764.31</v>
      </c>
      <c r="DR13" s="13">
        <f t="shared" si="20"/>
        <v>6764.31</v>
      </c>
      <c r="DS13" s="20">
        <f t="shared" ref="DS13:DS25" si="99">(DQ13/DO13)-1</f>
        <v>1.1680308478423385E-4</v>
      </c>
      <c r="DU13" s="3" t="s">
        <v>1</v>
      </c>
      <c r="DV13" s="13">
        <v>4277.41</v>
      </c>
      <c r="DW13" s="4">
        <v>0</v>
      </c>
      <c r="DX13" s="13">
        <v>4277.91</v>
      </c>
      <c r="DY13" s="13">
        <f t="shared" si="21"/>
        <v>0</v>
      </c>
      <c r="DZ13" s="20">
        <f t="shared" ref="DZ13:DZ25" si="100">(DX13/DV13)-1</f>
        <v>1.1689316665930427E-4</v>
      </c>
      <c r="EB13" s="3" t="s">
        <v>1</v>
      </c>
      <c r="EC13" s="13">
        <v>4277.41</v>
      </c>
      <c r="ED13" s="4">
        <v>1</v>
      </c>
      <c r="EE13" s="13">
        <v>4277.91</v>
      </c>
      <c r="EF13" s="13">
        <f t="shared" si="22"/>
        <v>4277.91</v>
      </c>
      <c r="EG13" s="20">
        <f t="shared" ref="EG13:EG25" si="101">(EE13/EC13)-1</f>
        <v>1.1689316665930427E-4</v>
      </c>
      <c r="EI13" s="3" t="s">
        <v>1</v>
      </c>
      <c r="EJ13" s="13">
        <v>6592.51</v>
      </c>
      <c r="EK13" s="4">
        <v>0</v>
      </c>
      <c r="EL13" s="13">
        <v>6337.16</v>
      </c>
      <c r="EM13" s="13">
        <f t="shared" ref="EM13:EM25" si="102">EK13*EL13</f>
        <v>0</v>
      </c>
      <c r="EN13" s="20">
        <f t="shared" ref="EN13:EN25" si="103">(EL13/EJ13)-1</f>
        <v>-3.8733350423435176E-2</v>
      </c>
      <c r="EO13" s="13">
        <v>3391.88</v>
      </c>
      <c r="EP13" s="4">
        <v>0</v>
      </c>
      <c r="EQ13" s="13">
        <v>3052.7</v>
      </c>
      <c r="ER13" s="13">
        <f t="shared" ref="ER13:ER25" si="104">EP13*EQ13</f>
        <v>0</v>
      </c>
      <c r="ES13" s="20">
        <f t="shared" ref="ES13:ES25" si="105">(EQ13/EO13)-1</f>
        <v>-9.9997641425993877E-2</v>
      </c>
      <c r="ET13" s="13">
        <v>4429.47</v>
      </c>
      <c r="EU13" s="4">
        <v>0</v>
      </c>
      <c r="EV13" s="13">
        <v>4373.92</v>
      </c>
      <c r="EW13" s="13">
        <f t="shared" ref="EW13:EW25" si="106">EU13*EV13</f>
        <v>0</v>
      </c>
      <c r="EX13" s="20">
        <f t="shared" ref="EX13:EX25" si="107">(EV13/ET13)-1</f>
        <v>-1.2541003776975646E-2</v>
      </c>
      <c r="EY13" s="15">
        <v>3457.14</v>
      </c>
      <c r="EZ13" s="4">
        <v>0</v>
      </c>
      <c r="FA13" s="13">
        <v>3263.06</v>
      </c>
      <c r="FB13" s="13">
        <f t="shared" ref="FB13:FB25" si="108">EZ13*FA13</f>
        <v>0</v>
      </c>
      <c r="FC13" s="20">
        <f t="shared" ref="FC13:FC25" si="109">(FA13/EY13)-1</f>
        <v>-5.6138889370982881E-2</v>
      </c>
      <c r="FD13" s="15">
        <v>3124.15</v>
      </c>
      <c r="FE13" s="4">
        <v>0</v>
      </c>
      <c r="FF13" s="13">
        <v>2975.95</v>
      </c>
      <c r="FG13" s="13">
        <f t="shared" ref="FG13:FG25" si="110">FE13*FF13</f>
        <v>0</v>
      </c>
      <c r="FH13" s="20">
        <f t="shared" ref="FH13:FH25" si="111">(FF13/FD13)-1</f>
        <v>-4.7436902837571959E-2</v>
      </c>
      <c r="FI13" s="13">
        <v>2997.98</v>
      </c>
      <c r="FJ13" s="4">
        <v>0</v>
      </c>
      <c r="FK13" s="13">
        <v>2998.09</v>
      </c>
      <c r="FL13" s="13">
        <f t="shared" ref="FL13:FL25" si="112">FJ13*FK13</f>
        <v>0</v>
      </c>
      <c r="FM13" s="20">
        <f t="shared" ref="FM13:FM25" si="113">(FK13/FI13)-1</f>
        <v>3.66913721907558E-5</v>
      </c>
      <c r="FN13" s="13">
        <v>2997.98</v>
      </c>
      <c r="FO13" s="4">
        <v>0</v>
      </c>
      <c r="FP13" s="13">
        <v>2698.43</v>
      </c>
      <c r="FQ13" s="13">
        <f t="shared" ref="FQ13:FQ25" si="114">FO13*FP13</f>
        <v>0</v>
      </c>
      <c r="FR13" s="20">
        <f t="shared" ref="FR13:FR25" si="115">(FP13/FN13)-1</f>
        <v>-9.9917277633606694E-2</v>
      </c>
      <c r="FS13" s="13">
        <v>2997.98</v>
      </c>
      <c r="FT13" s="4">
        <v>0</v>
      </c>
      <c r="FU13" s="13">
        <v>2855.76</v>
      </c>
      <c r="FV13" s="13">
        <f t="shared" ref="FV13:FV25" si="116">FT13*FU13</f>
        <v>0</v>
      </c>
      <c r="FW13" s="20">
        <f t="shared" ref="FW13:FW25" si="117">(FU13/FS13)-1</f>
        <v>-4.7438608663166515E-2</v>
      </c>
      <c r="FX13" s="15">
        <v>3426.73</v>
      </c>
      <c r="FY13" s="4">
        <v>0</v>
      </c>
      <c r="FZ13" s="13">
        <v>3174.41</v>
      </c>
      <c r="GA13" s="13">
        <f t="shared" ref="GA13:GA25" si="118">FY13*FZ13</f>
        <v>0</v>
      </c>
      <c r="GB13" s="20">
        <f t="shared" ref="GB13:GB25" si="119">(FZ13/FX13)-1</f>
        <v>-7.3632880326141903E-2</v>
      </c>
      <c r="GC13" s="13">
        <v>2826.7</v>
      </c>
      <c r="GD13" s="4">
        <v>0</v>
      </c>
      <c r="GE13" s="13">
        <v>2668.01</v>
      </c>
      <c r="GF13" s="13">
        <f t="shared" ref="GF13:GF25" si="120">GD13*GE13</f>
        <v>0</v>
      </c>
      <c r="GG13" s="20">
        <f t="shared" ref="GG13:GG25" si="121">(GE13/GC13)-1</f>
        <v>-5.6139668164290391E-2</v>
      </c>
      <c r="GH13" s="15">
        <v>3193.39</v>
      </c>
      <c r="GI13" s="4">
        <v>0</v>
      </c>
      <c r="GJ13" s="13">
        <v>3014.13</v>
      </c>
      <c r="GK13" s="13">
        <f t="shared" ref="GK13:GK25" si="122">GI13*GJ13</f>
        <v>0</v>
      </c>
      <c r="GL13" s="20">
        <f t="shared" ref="GL13:GL25" si="123">(GJ13/GH13)-1</f>
        <v>-5.6134703246393247E-2</v>
      </c>
      <c r="GM13" s="15">
        <v>2515</v>
      </c>
      <c r="GN13" s="4">
        <v>0</v>
      </c>
      <c r="GO13" s="13">
        <v>2329.8200000000002</v>
      </c>
      <c r="GP13" s="13">
        <f t="shared" ref="GP13:GP25" si="124">GN13*GO13</f>
        <v>0</v>
      </c>
      <c r="GQ13" s="20">
        <f t="shared" ref="GQ13:GQ25" si="125">(GO13/GM13)-1</f>
        <v>-7.3630218687872673E-2</v>
      </c>
      <c r="GR13" s="13">
        <v>5467.16</v>
      </c>
      <c r="GS13" s="4">
        <v>0</v>
      </c>
      <c r="GT13" s="13">
        <v>5303.45</v>
      </c>
      <c r="GU13" s="13">
        <f t="shared" ref="GU13:GU25" si="126">GS13*GT13</f>
        <v>0</v>
      </c>
      <c r="GV13" s="20">
        <f t="shared" ref="GV13:GV25" si="127">(GT13/GR13)-1</f>
        <v>-2.9944248933632789E-2</v>
      </c>
      <c r="GW13" s="15">
        <v>2482.38</v>
      </c>
      <c r="GX13" s="4">
        <v>0</v>
      </c>
      <c r="GY13" s="13">
        <v>2299.6</v>
      </c>
      <c r="GZ13" s="13">
        <f t="shared" ref="GZ13:GZ25" si="128">GX13*GY13</f>
        <v>0</v>
      </c>
      <c r="HA13" s="20">
        <f t="shared" ref="HA13:HA25" si="129">(GY13/GW13)-1</f>
        <v>-7.3630950942241036E-2</v>
      </c>
      <c r="HB13" s="15">
        <v>3295.25</v>
      </c>
      <c r="HC13" s="4">
        <v>0</v>
      </c>
      <c r="HD13" s="13">
        <v>3052.62</v>
      </c>
      <c r="HE13" s="13">
        <f t="shared" ref="HE13:HE25" si="130">HC13*HD13</f>
        <v>0</v>
      </c>
      <c r="HF13" s="20">
        <f t="shared" ref="HF13:HF25" si="131">(HD13/HB13)-1</f>
        <v>-7.36302253243305E-2</v>
      </c>
      <c r="HG13" s="15">
        <v>2335.62</v>
      </c>
      <c r="HH13" s="4">
        <v>0</v>
      </c>
      <c r="HI13" s="13">
        <v>2163.64</v>
      </c>
      <c r="HJ13" s="13">
        <f t="shared" ref="HJ13:HJ25" si="132">HH13*HI13</f>
        <v>0</v>
      </c>
      <c r="HK13" s="20">
        <f t="shared" ref="HK13:HK25" si="133">(HI13/HG13)-1</f>
        <v>-7.363355340337896E-2</v>
      </c>
      <c r="HL13" s="13">
        <v>2362.71</v>
      </c>
      <c r="HM13" s="4">
        <v>1</v>
      </c>
      <c r="HN13" s="13">
        <v>2126.54</v>
      </c>
      <c r="HO13" s="13">
        <f t="shared" ref="HO13:HO25" si="134">HM13*HN13</f>
        <v>2126.54</v>
      </c>
      <c r="HP13" s="20">
        <f t="shared" ref="HP13:HP25" si="135">(HN13/HL13)-1</f>
        <v>-9.995725247702858E-2</v>
      </c>
      <c r="HQ13" s="13">
        <v>2362.71</v>
      </c>
      <c r="HR13" s="4">
        <v>3</v>
      </c>
      <c r="HS13" s="13">
        <v>2188.7399999999998</v>
      </c>
      <c r="HT13" s="13">
        <f t="shared" ref="HT13:HT25" si="136">HR13*HS13</f>
        <v>6566.2199999999993</v>
      </c>
      <c r="HU13" s="20">
        <f t="shared" ref="HU13:HU25" si="137">(HS13/HQ13)-1</f>
        <v>-7.363155021140988E-2</v>
      </c>
      <c r="HV13" s="13">
        <v>5939.49</v>
      </c>
      <c r="HW13" s="4">
        <v>0</v>
      </c>
      <c r="HX13" s="13">
        <v>5865.01</v>
      </c>
      <c r="HY13" s="13">
        <f t="shared" ref="HY13:HY25" si="138">HW13*HX13</f>
        <v>0</v>
      </c>
      <c r="HZ13" s="20">
        <f t="shared" ref="HZ13:HZ25" si="139">(HX13/HV13)-1</f>
        <v>-1.2539797187973933E-2</v>
      </c>
      <c r="IB13" s="3" t="s">
        <v>1</v>
      </c>
      <c r="IC13" s="15">
        <v>1583.04</v>
      </c>
      <c r="ID13" s="4">
        <v>0</v>
      </c>
      <c r="IE13" s="13">
        <v>1519.01</v>
      </c>
      <c r="IF13" s="13">
        <f t="shared" si="23"/>
        <v>0</v>
      </c>
      <c r="IG13" s="20">
        <f t="shared" ref="IG13:IG25" si="140">(IE13/IC13)-1</f>
        <v>-4.0447493430361803E-2</v>
      </c>
      <c r="IH13" s="13">
        <v>837.57</v>
      </c>
      <c r="II13" s="4">
        <v>0</v>
      </c>
      <c r="IJ13" s="13">
        <v>753.81</v>
      </c>
      <c r="IK13" s="13">
        <f t="shared" si="24"/>
        <v>0</v>
      </c>
      <c r="IL13" s="20">
        <f t="shared" ref="IL13:IL25" si="141">(IJ13/IH13)-1</f>
        <v>-0.10000358179017887</v>
      </c>
      <c r="IM13" s="13">
        <v>1007.33</v>
      </c>
      <c r="IN13" s="4">
        <v>0</v>
      </c>
      <c r="IO13" s="13">
        <v>993.41</v>
      </c>
      <c r="IP13" s="13">
        <f t="shared" si="25"/>
        <v>0</v>
      </c>
      <c r="IQ13" s="20">
        <f t="shared" ref="IQ13:IQ25" si="142">(IO13/IM13)-1</f>
        <v>-1.3818708864026807E-2</v>
      </c>
      <c r="IR13" s="13">
        <v>842.56</v>
      </c>
      <c r="IS13" s="4">
        <v>0</v>
      </c>
      <c r="IT13" s="13">
        <v>793.55</v>
      </c>
      <c r="IU13" s="13">
        <f t="shared" si="26"/>
        <v>0</v>
      </c>
      <c r="IV13" s="20">
        <f t="shared" ref="IV13:IV25" si="143">(IT13/IR13)-1</f>
        <v>-5.8167964299278396E-2</v>
      </c>
      <c r="IW13" s="15">
        <v>705.84</v>
      </c>
      <c r="IX13" s="4">
        <v>0</v>
      </c>
      <c r="IY13" s="13">
        <v>664.78</v>
      </c>
      <c r="IZ13" s="13">
        <f t="shared" si="27"/>
        <v>0</v>
      </c>
      <c r="JA13" s="20">
        <f t="shared" ref="JA13:JA25" si="144">(IY13/IW13)-1</f>
        <v>-5.8171823642751974E-2</v>
      </c>
      <c r="JB13" s="13">
        <v>753.05</v>
      </c>
      <c r="JC13" s="4">
        <v>9</v>
      </c>
      <c r="JD13" s="13">
        <v>753.07</v>
      </c>
      <c r="JE13" s="13">
        <f t="shared" si="28"/>
        <v>6777.63</v>
      </c>
      <c r="JF13" s="20">
        <f t="shared" ref="JF13:JF25" si="145">(JD13/JB13)-1</f>
        <v>2.6558661443631948E-5</v>
      </c>
      <c r="JG13" s="13">
        <v>753.05</v>
      </c>
      <c r="JH13" s="4">
        <v>0</v>
      </c>
      <c r="JI13" s="13">
        <v>677.75</v>
      </c>
      <c r="JJ13" s="13">
        <f t="shared" si="29"/>
        <v>0</v>
      </c>
      <c r="JK13" s="20">
        <f t="shared" ref="JK13:JK25" si="146">(JI13/JG13)-1</f>
        <v>-9.9993360334639125E-2</v>
      </c>
      <c r="JL13" s="13">
        <v>753.05</v>
      </c>
      <c r="JM13" s="4">
        <v>0</v>
      </c>
      <c r="JN13" s="13">
        <v>722.59</v>
      </c>
      <c r="JO13" s="13">
        <f t="shared" si="30"/>
        <v>0</v>
      </c>
      <c r="JP13" s="20">
        <f t="shared" ref="JP13:JP25" si="147">(JN13/JL13)-1</f>
        <v>-4.044884137839444E-2</v>
      </c>
      <c r="JQ13" s="15">
        <v>867.7</v>
      </c>
      <c r="JR13" s="4">
        <v>0</v>
      </c>
      <c r="JS13" s="13">
        <v>817.23</v>
      </c>
      <c r="JT13" s="13">
        <f t="shared" si="31"/>
        <v>0</v>
      </c>
      <c r="JU13" s="20">
        <f t="shared" ref="JU13:JU25" si="148">(JS13/JQ13)-1</f>
        <v>-5.8165264492336055E-2</v>
      </c>
      <c r="JV13" s="15">
        <v>704.56</v>
      </c>
      <c r="JW13" s="4">
        <v>0</v>
      </c>
      <c r="JX13" s="13">
        <v>663.57</v>
      </c>
      <c r="JY13" s="13">
        <f t="shared" si="32"/>
        <v>0</v>
      </c>
      <c r="JZ13" s="20">
        <f t="shared" ref="JZ13:JZ25" si="149">(JX13/JV13)-1</f>
        <v>-5.8178153741341943E-2</v>
      </c>
      <c r="KA13" s="13">
        <v>808.51</v>
      </c>
      <c r="KB13" s="4">
        <v>0</v>
      </c>
      <c r="KC13" s="13">
        <v>768.68</v>
      </c>
      <c r="KD13" s="13">
        <f t="shared" si="33"/>
        <v>0</v>
      </c>
      <c r="KE13" s="20">
        <f t="shared" ref="KE13:KE25" si="150">(KC13/KA13)-1</f>
        <v>-4.9263459944836829E-2</v>
      </c>
      <c r="KF13" s="15">
        <v>626.66</v>
      </c>
      <c r="KG13" s="4">
        <v>0</v>
      </c>
      <c r="KH13" s="13">
        <v>590.22</v>
      </c>
      <c r="KI13" s="13">
        <f t="shared" si="34"/>
        <v>0</v>
      </c>
      <c r="KJ13" s="20">
        <f t="shared" ref="KJ13:KJ25" si="151">(KH13/KF13)-1</f>
        <v>-5.8149554782497614E-2</v>
      </c>
      <c r="KK13" s="15">
        <v>1042.96</v>
      </c>
      <c r="KL13" s="4">
        <v>0</v>
      </c>
      <c r="KM13" s="13">
        <v>1028.55</v>
      </c>
      <c r="KN13" s="13">
        <f t="shared" si="35"/>
        <v>0</v>
      </c>
      <c r="KO13" s="20">
        <f t="shared" ref="KO13:KO25" si="152">(KM13/KK13)-1</f>
        <v>-1.3816445501265706E-2</v>
      </c>
      <c r="KP13" s="15">
        <v>623.79999999999995</v>
      </c>
      <c r="KQ13" s="4">
        <v>0</v>
      </c>
      <c r="KR13" s="13">
        <v>587.51</v>
      </c>
      <c r="KS13" s="13">
        <f t="shared" si="36"/>
        <v>0</v>
      </c>
      <c r="KT13" s="20">
        <f t="shared" ref="KT13:KT25" si="153">(KR13/KP13)-1</f>
        <v>-5.8175697338890608E-2</v>
      </c>
      <c r="KU13" s="13">
        <v>794.57</v>
      </c>
      <c r="KV13" s="4">
        <v>0</v>
      </c>
      <c r="KW13" s="13">
        <v>748.35</v>
      </c>
      <c r="KX13" s="13">
        <f t="shared" si="37"/>
        <v>0</v>
      </c>
      <c r="KY13" s="20">
        <f t="shared" ref="KY13:KY25" si="154">(KW13/KU13)-1</f>
        <v>-5.8169827705551458E-2</v>
      </c>
      <c r="KZ13" s="15">
        <v>588.02</v>
      </c>
      <c r="LA13" s="4">
        <v>0</v>
      </c>
      <c r="LB13" s="13">
        <v>553.80999999999995</v>
      </c>
      <c r="LC13" s="13">
        <f t="shared" si="38"/>
        <v>0</v>
      </c>
      <c r="LD13" s="20">
        <f t="shared" ref="LD13:LD25" si="155">(LB13/KZ13)-1</f>
        <v>-5.8178293255331526E-2</v>
      </c>
      <c r="LE13" s="13">
        <v>589.23</v>
      </c>
      <c r="LF13" s="4">
        <v>40</v>
      </c>
      <c r="LG13" s="13">
        <v>530.38</v>
      </c>
      <c r="LH13" s="13">
        <f t="shared" si="39"/>
        <v>21215.200000000001</v>
      </c>
      <c r="LI13" s="20">
        <f t="shared" ref="LI13:LI25" si="156">(LG13/LE13)-1</f>
        <v>-9.9876109498837518E-2</v>
      </c>
      <c r="LJ13" s="13">
        <v>589.23</v>
      </c>
      <c r="LK13" s="4">
        <v>0</v>
      </c>
      <c r="LL13" s="13">
        <v>554.96</v>
      </c>
      <c r="LM13" s="13">
        <f t="shared" si="40"/>
        <v>0</v>
      </c>
      <c r="LN13" s="20">
        <f t="shared" ref="LN13:LN25" si="157">(LL13/LJ13)-1</f>
        <v>-5.8160650340274511E-2</v>
      </c>
      <c r="LO13" s="15">
        <v>1198.98</v>
      </c>
      <c r="LP13" s="4">
        <v>0</v>
      </c>
      <c r="LQ13" s="13">
        <v>1139.92</v>
      </c>
      <c r="LR13" s="13">
        <f t="shared" si="41"/>
        <v>0</v>
      </c>
      <c r="LS13" s="20">
        <f t="shared" ref="LS13:LS25" si="158">(LQ13/LO13)-1</f>
        <v>-4.9258536422625898E-2</v>
      </c>
      <c r="LU13" s="3" t="s">
        <v>1</v>
      </c>
      <c r="LV13" s="13">
        <v>4746.4799999999996</v>
      </c>
      <c r="LW13" s="4">
        <v>0</v>
      </c>
      <c r="LX13" s="13">
        <v>4566.2700000000004</v>
      </c>
      <c r="LY13" s="13">
        <f t="shared" si="42"/>
        <v>0</v>
      </c>
      <c r="LZ13" s="12">
        <f t="shared" ref="LZ13:LZ25" si="159">(LX13/LV13)-1</f>
        <v>-3.7967082975173039E-2</v>
      </c>
      <c r="MA13" s="13">
        <v>2530.8200000000002</v>
      </c>
      <c r="MB13" s="4">
        <v>1</v>
      </c>
      <c r="MC13" s="13">
        <v>2277.84</v>
      </c>
      <c r="MD13" s="13">
        <f t="shared" si="43"/>
        <v>2277.84</v>
      </c>
      <c r="ME13" s="12">
        <f t="shared" ref="ME13:ME25" si="160">(MC13/MA13)-1</f>
        <v>-9.9959696857145119E-2</v>
      </c>
      <c r="MF13" s="13">
        <v>3090.66</v>
      </c>
      <c r="MG13" s="4">
        <v>0</v>
      </c>
      <c r="MH13" s="13">
        <v>3027.91</v>
      </c>
      <c r="MI13" s="13">
        <f t="shared" si="44"/>
        <v>0</v>
      </c>
      <c r="MJ13" s="12">
        <f t="shared" ref="MJ13:MJ25" si="161">(MH13/MF13)-1</f>
        <v>-2.0303106779781643E-2</v>
      </c>
      <c r="MK13" s="15">
        <v>2544.36</v>
      </c>
      <c r="ML13" s="4">
        <v>0</v>
      </c>
      <c r="MM13" s="13">
        <v>2425.4</v>
      </c>
      <c r="MN13" s="13">
        <f t="shared" si="45"/>
        <v>0</v>
      </c>
      <c r="MO13" s="12">
        <f t="shared" ref="MO13:MO25" si="162">(MM13/MK13)-1</f>
        <v>-4.6754390102029642E-2</v>
      </c>
      <c r="MP13" s="13">
        <v>2447.91</v>
      </c>
      <c r="MQ13" s="4">
        <v>0</v>
      </c>
      <c r="MR13" s="13">
        <v>2354.9699999999998</v>
      </c>
      <c r="MS13" s="13">
        <f t="shared" si="46"/>
        <v>0</v>
      </c>
      <c r="MT13" s="12">
        <f t="shared" ref="MT13:MT25" si="163">(MR13/MP13)-1</f>
        <v>-3.7967082123117279E-2</v>
      </c>
      <c r="MU13" s="13">
        <v>2237.17</v>
      </c>
      <c r="MV13" s="4">
        <v>8</v>
      </c>
      <c r="MW13" s="13">
        <v>2237.36</v>
      </c>
      <c r="MX13" s="13">
        <f t="shared" si="47"/>
        <v>17898.88</v>
      </c>
      <c r="MY13" s="12">
        <f t="shared" ref="MY13:MY25" si="164">(MW13/MU13)-1</f>
        <v>8.4928726918453989E-5</v>
      </c>
      <c r="MZ13" s="13">
        <v>2237.17</v>
      </c>
      <c r="NA13" s="4">
        <v>0</v>
      </c>
      <c r="NB13" s="13">
        <v>2013.54</v>
      </c>
      <c r="NC13" s="13">
        <f t="shared" si="48"/>
        <v>0</v>
      </c>
      <c r="ND13" s="12">
        <f t="shared" ref="ND13:ND25" si="165">(NB13/MZ13)-1</f>
        <v>-9.9961111582937412E-2</v>
      </c>
      <c r="NE13" s="13">
        <v>2237.17</v>
      </c>
      <c r="NF13" s="4">
        <v>0</v>
      </c>
      <c r="NG13" s="13">
        <v>2132.5700000000002</v>
      </c>
      <c r="NH13" s="13">
        <f t="shared" si="49"/>
        <v>0</v>
      </c>
      <c r="NI13" s="12">
        <f t="shared" ref="NI13:NI25" si="166">(NG13/NE13)-1</f>
        <v>-4.6755499135067935E-2</v>
      </c>
      <c r="NJ13" s="13">
        <v>2573.9</v>
      </c>
      <c r="NK13" s="4">
        <v>2</v>
      </c>
      <c r="NL13" s="13">
        <v>2408.08</v>
      </c>
      <c r="NM13" s="13">
        <f t="shared" si="50"/>
        <v>4816.16</v>
      </c>
      <c r="NN13" s="12">
        <f t="shared" ref="NN13:NN25" si="167">(NL13/NJ13)-1</f>
        <v>-6.4423637281945778E-2</v>
      </c>
      <c r="NO13" s="13">
        <v>2111.61</v>
      </c>
      <c r="NP13" s="4">
        <v>0</v>
      </c>
      <c r="NQ13" s="13">
        <v>2012.87</v>
      </c>
      <c r="NR13" s="13">
        <f t="shared" si="51"/>
        <v>0</v>
      </c>
      <c r="NS13" s="12">
        <f t="shared" ref="NS13:NS25" si="168">(NQ13/NO13)-1</f>
        <v>-4.6760528696113468E-2</v>
      </c>
      <c r="NT13" s="13">
        <v>2398.04</v>
      </c>
      <c r="NU13" s="4">
        <v>6</v>
      </c>
      <c r="NV13" s="13">
        <v>2285.92</v>
      </c>
      <c r="NW13" s="13">
        <f t="shared" si="52"/>
        <v>13715.52</v>
      </c>
      <c r="NX13" s="12">
        <f t="shared" ref="NX13:NX25" si="169">(NV13/NT13)-1</f>
        <v>-4.6754849793998354E-2</v>
      </c>
      <c r="NY13" s="13">
        <v>1877.74</v>
      </c>
      <c r="NZ13" s="4">
        <v>0</v>
      </c>
      <c r="OA13" s="13">
        <v>1756.76</v>
      </c>
      <c r="OB13" s="13">
        <f t="shared" si="53"/>
        <v>0</v>
      </c>
      <c r="OC13" s="12">
        <f t="shared" ref="OC13:OC25" si="170">(OA13/NY13)-1</f>
        <v>-6.4428515129890229E-2</v>
      </c>
      <c r="OD13" s="15">
        <v>3453.51</v>
      </c>
      <c r="OE13" s="4">
        <v>0</v>
      </c>
      <c r="OF13" s="13">
        <v>3383.4</v>
      </c>
      <c r="OG13" s="13">
        <f t="shared" si="54"/>
        <v>0</v>
      </c>
      <c r="OH13" s="12">
        <f t="shared" ref="OH13:OH25" si="171">(OF13/OD13)-1</f>
        <v>-2.0301084983104234E-2</v>
      </c>
      <c r="OI13" s="15">
        <v>1851.13</v>
      </c>
      <c r="OJ13" s="4">
        <v>0</v>
      </c>
      <c r="OK13" s="13">
        <v>1731.87</v>
      </c>
      <c r="OL13" s="13">
        <f t="shared" si="55"/>
        <v>0</v>
      </c>
      <c r="OM13" s="12">
        <f t="shared" ref="OM13:OM25" si="172">(OK13/OI13)-1</f>
        <v>-6.442551306499289E-2</v>
      </c>
      <c r="ON13" s="13">
        <v>2353.23</v>
      </c>
      <c r="OO13" s="4">
        <v>0</v>
      </c>
      <c r="OP13" s="13">
        <v>2201.62</v>
      </c>
      <c r="OQ13" s="13">
        <f t="shared" si="56"/>
        <v>0</v>
      </c>
      <c r="OR13" s="12">
        <f t="shared" ref="OR13:OR25" si="173">(OP13/ON13)-1</f>
        <v>-6.4426341666560472E-2</v>
      </c>
      <c r="OS13" s="13">
        <v>1744.79</v>
      </c>
      <c r="OT13" s="4">
        <v>2</v>
      </c>
      <c r="OU13" s="13">
        <v>1632.38</v>
      </c>
      <c r="OV13" s="13">
        <f t="shared" si="57"/>
        <v>3264.76</v>
      </c>
      <c r="OW13" s="12">
        <f t="shared" ref="OW13:OW25" si="174">(OU13/OS13)-1</f>
        <v>-6.4426091392087215E-2</v>
      </c>
      <c r="OX13" s="13">
        <v>1766</v>
      </c>
      <c r="OY13" s="4">
        <v>0</v>
      </c>
      <c r="OZ13" s="13">
        <v>1589.47</v>
      </c>
      <c r="PA13" s="13">
        <f t="shared" si="58"/>
        <v>0</v>
      </c>
      <c r="PB13" s="12">
        <f t="shared" ref="PB13:PB25" si="175">(OZ13/OX13)-1</f>
        <v>-9.9960362400906E-2</v>
      </c>
      <c r="PC13" s="13">
        <v>1766</v>
      </c>
      <c r="PD13" s="4">
        <v>0</v>
      </c>
      <c r="PE13" s="13">
        <v>1683.43</v>
      </c>
      <c r="PF13" s="13">
        <f t="shared" si="59"/>
        <v>0</v>
      </c>
      <c r="PG13" s="12">
        <f t="shared" ref="PG13:PG25" si="176">(PE13/PC13)-1</f>
        <v>-4.6755379388448426E-2</v>
      </c>
      <c r="PH13" s="13">
        <v>3558.36</v>
      </c>
      <c r="PI13" s="4">
        <v>0</v>
      </c>
      <c r="PJ13" s="13">
        <v>3423.25</v>
      </c>
      <c r="PK13" s="13">
        <f t="shared" si="60"/>
        <v>0</v>
      </c>
      <c r="PL13" s="12">
        <f t="shared" ref="PL13:PL25" si="177">(PJ13/PH13)-1</f>
        <v>-3.7969738868467551E-2</v>
      </c>
      <c r="PN13" s="3" t="s">
        <v>1</v>
      </c>
      <c r="PO13" s="15">
        <v>4453.4799999999996</v>
      </c>
      <c r="PP13" s="4"/>
      <c r="PQ13" s="13"/>
      <c r="PR13" s="13">
        <f t="shared" si="61"/>
        <v>0</v>
      </c>
      <c r="PS13" s="12">
        <f t="shared" ref="PS13:PS25" si="178">(PQ13/PO13)-1</f>
        <v>-1</v>
      </c>
      <c r="PT13" s="13">
        <v>2374.59</v>
      </c>
      <c r="PU13" s="4">
        <v>0</v>
      </c>
      <c r="PV13" s="13"/>
      <c r="PW13" s="13">
        <f t="shared" si="62"/>
        <v>0</v>
      </c>
      <c r="PX13" s="12">
        <f t="shared" ref="PX13:PX25" si="179">(PV13/PT13)-1</f>
        <v>-1</v>
      </c>
      <c r="PY13" s="13">
        <v>2899.87</v>
      </c>
      <c r="PZ13" s="4">
        <v>0</v>
      </c>
      <c r="QA13" s="13"/>
      <c r="QB13" s="13">
        <f t="shared" si="63"/>
        <v>0</v>
      </c>
      <c r="QC13" s="12">
        <f t="shared" ref="QC13:QC25" si="180">(QA13/PY13)-1</f>
        <v>-1</v>
      </c>
      <c r="QD13" s="15">
        <v>2387.3000000000002</v>
      </c>
      <c r="QE13" s="4"/>
      <c r="QF13" s="13"/>
      <c r="QG13" s="13">
        <f t="shared" si="64"/>
        <v>0</v>
      </c>
      <c r="QH13" s="12">
        <f t="shared" ref="QH13:QH25" si="181">(QF13/QD13)-1</f>
        <v>-1</v>
      </c>
      <c r="QI13" s="15">
        <v>2296.8000000000002</v>
      </c>
      <c r="QJ13" s="4"/>
      <c r="QK13" s="13"/>
      <c r="QL13" s="13">
        <f t="shared" si="65"/>
        <v>0</v>
      </c>
      <c r="QM13" s="12">
        <f t="shared" ref="QM13:QM25" si="182">(QK13/QI13)-1</f>
        <v>-1</v>
      </c>
      <c r="QN13" s="15">
        <v>2099.0700000000002</v>
      </c>
      <c r="QO13" s="4"/>
      <c r="QP13" s="13"/>
      <c r="QQ13" s="13">
        <f t="shared" si="66"/>
        <v>0</v>
      </c>
      <c r="QR13" s="12">
        <f t="shared" ref="QR13:QR25" si="183">(QP13/QN13)-1</f>
        <v>-1</v>
      </c>
      <c r="QS13" s="15">
        <v>2415.0100000000002</v>
      </c>
      <c r="QT13" s="4"/>
      <c r="QU13" s="13"/>
      <c r="QV13" s="13">
        <f t="shared" si="67"/>
        <v>0</v>
      </c>
      <c r="QW13" s="12">
        <f t="shared" ref="QW13:QW25" si="184">(QU13/QS13)-1</f>
        <v>-1</v>
      </c>
      <c r="QX13" s="15">
        <v>1981.26</v>
      </c>
      <c r="QY13" s="4"/>
      <c r="QZ13" s="13"/>
      <c r="RA13" s="13">
        <f t="shared" si="68"/>
        <v>0</v>
      </c>
      <c r="RB13" s="12">
        <f t="shared" ref="RB13:RB25" si="185">(QZ13/QX13)-1</f>
        <v>-1</v>
      </c>
      <c r="RC13" s="15">
        <v>2250.0100000000002</v>
      </c>
      <c r="RD13" s="4"/>
      <c r="RE13" s="13"/>
      <c r="RF13" s="13">
        <f t="shared" si="69"/>
        <v>0</v>
      </c>
      <c r="RG13" s="12">
        <f t="shared" ref="RG13:RG25" si="186">(RE13/RC13)-1</f>
        <v>-1</v>
      </c>
      <c r="RH13" s="15">
        <v>1761.83</v>
      </c>
      <c r="RI13" s="4"/>
      <c r="RJ13" s="13"/>
      <c r="RK13" s="13">
        <f t="shared" si="70"/>
        <v>0</v>
      </c>
      <c r="RL13" s="12">
        <f t="shared" ref="RL13:RL25" si="187">(RJ13/RH13)-1</f>
        <v>-1</v>
      </c>
      <c r="RM13" s="15">
        <v>3240.33</v>
      </c>
      <c r="RN13" s="4"/>
      <c r="RO13" s="13"/>
      <c r="RP13" s="13">
        <f t="shared" si="71"/>
        <v>0</v>
      </c>
      <c r="RQ13" s="12">
        <f t="shared" ref="RQ13:RQ25" si="188">(RO13/RM13)-1</f>
        <v>-1</v>
      </c>
      <c r="RR13" s="15">
        <v>1736.86</v>
      </c>
      <c r="RS13" s="4"/>
      <c r="RT13" s="13"/>
      <c r="RU13" s="13">
        <f t="shared" si="72"/>
        <v>0</v>
      </c>
      <c r="RV13" s="12">
        <f t="shared" ref="RV13:RV25" si="189">(RT13/RR13)-1</f>
        <v>-1</v>
      </c>
      <c r="RW13" s="15">
        <v>2207.96</v>
      </c>
      <c r="RX13" s="4"/>
      <c r="RY13" s="13"/>
      <c r="RZ13" s="13">
        <f t="shared" si="73"/>
        <v>0</v>
      </c>
      <c r="SA13" s="12">
        <f t="shared" ref="SA13:SA25" si="190">(RY13/RW13)-1</f>
        <v>-1</v>
      </c>
      <c r="SB13" s="15">
        <v>1637.09</v>
      </c>
      <c r="SC13" s="4"/>
      <c r="SD13" s="13"/>
      <c r="SE13" s="13">
        <f t="shared" si="74"/>
        <v>0</v>
      </c>
      <c r="SF13" s="12">
        <f t="shared" ref="SF13:SF25" si="191">(SD13/SB13)-1</f>
        <v>-1</v>
      </c>
      <c r="SG13" s="15">
        <v>1656.99</v>
      </c>
      <c r="SH13" s="4"/>
      <c r="SI13" s="13"/>
      <c r="SJ13" s="13">
        <f t="shared" si="75"/>
        <v>0</v>
      </c>
      <c r="SK13" s="12">
        <f t="shared" ref="SK13:SK25" si="192">(SI13/SG13)-1</f>
        <v>-1</v>
      </c>
      <c r="SL13" s="15">
        <v>3338.7</v>
      </c>
      <c r="SM13" s="4"/>
      <c r="SN13" s="13"/>
      <c r="SO13" s="13">
        <f t="shared" si="76"/>
        <v>0</v>
      </c>
      <c r="SP13" s="12">
        <f t="shared" ref="SP13:SP25" si="193">(SN13/SL13)-1</f>
        <v>-1</v>
      </c>
    </row>
    <row r="14" spans="1:510" x14ac:dyDescent="0.25">
      <c r="A14" s="3" t="s">
        <v>2</v>
      </c>
      <c r="B14" s="13">
        <v>4434.87</v>
      </c>
      <c r="C14" s="4">
        <v>0</v>
      </c>
      <c r="D14" s="13">
        <v>3991.37</v>
      </c>
      <c r="E14" s="13">
        <f t="shared" si="77"/>
        <v>0</v>
      </c>
      <c r="F14" s="20">
        <f t="shared" si="78"/>
        <v>-0.10000293131478488</v>
      </c>
      <c r="H14" s="3" t="s">
        <v>2</v>
      </c>
      <c r="I14" s="13">
        <v>1116.1199999999999</v>
      </c>
      <c r="J14" s="4">
        <v>0</v>
      </c>
      <c r="K14" s="13">
        <v>1004.54</v>
      </c>
      <c r="L14" s="13">
        <f t="shared" si="0"/>
        <v>0</v>
      </c>
      <c r="M14" s="20">
        <f t="shared" si="79"/>
        <v>-9.9971329247751095E-2</v>
      </c>
      <c r="O14" s="3" t="s">
        <v>2</v>
      </c>
      <c r="P14" s="13">
        <v>3320.49</v>
      </c>
      <c r="Q14" s="4">
        <v>4</v>
      </c>
      <c r="R14" s="13">
        <v>2988.43</v>
      </c>
      <c r="S14" s="13">
        <f t="shared" si="1"/>
        <v>11953.72</v>
      </c>
      <c r="T14" s="20">
        <f t="shared" si="80"/>
        <v>-0.10000331276408003</v>
      </c>
      <c r="V14" s="3" t="s">
        <v>2</v>
      </c>
      <c r="W14" s="15">
        <v>4521.8</v>
      </c>
      <c r="X14" s="4">
        <v>0</v>
      </c>
      <c r="Y14" s="13">
        <v>4252.22</v>
      </c>
      <c r="Z14" s="13">
        <f t="shared" si="2"/>
        <v>0</v>
      </c>
      <c r="AA14" s="12">
        <f t="shared" si="81"/>
        <v>-5.9617851298155555E-2</v>
      </c>
      <c r="AB14" s="15">
        <v>3921.24</v>
      </c>
      <c r="AC14" s="4">
        <v>0</v>
      </c>
      <c r="AD14" s="13">
        <v>3721.47</v>
      </c>
      <c r="AE14" s="13">
        <f t="shared" si="3"/>
        <v>0</v>
      </c>
      <c r="AF14" s="12">
        <f t="shared" si="82"/>
        <v>-5.0945619242892537E-2</v>
      </c>
      <c r="AG14" s="33">
        <v>3659.71</v>
      </c>
      <c r="AH14" s="4">
        <v>1</v>
      </c>
      <c r="AI14" s="13">
        <v>3476.79</v>
      </c>
      <c r="AJ14" s="13">
        <f t="shared" si="4"/>
        <v>3476.79</v>
      </c>
      <c r="AK14" s="12">
        <f t="shared" si="83"/>
        <v>-4.9982102407021389E-2</v>
      </c>
      <c r="AL14" s="15">
        <v>3289.53</v>
      </c>
      <c r="AM14" s="4">
        <v>0</v>
      </c>
      <c r="AN14" s="13">
        <v>3036.08</v>
      </c>
      <c r="AO14" s="13">
        <f t="shared" si="5"/>
        <v>0</v>
      </c>
      <c r="AP14" s="12">
        <f t="shared" si="84"/>
        <v>-7.7047480947126212E-2</v>
      </c>
      <c r="AQ14" s="15">
        <v>3246.85</v>
      </c>
      <c r="AR14" s="4">
        <v>0</v>
      </c>
      <c r="AS14" s="13">
        <v>2996.69</v>
      </c>
      <c r="AT14" s="13">
        <f t="shared" si="6"/>
        <v>0</v>
      </c>
      <c r="AU14" s="12">
        <f t="shared" si="85"/>
        <v>-7.704698399987675E-2</v>
      </c>
      <c r="AV14" s="33">
        <v>3023.91</v>
      </c>
      <c r="AW14" s="4">
        <v>0</v>
      </c>
      <c r="AX14" s="13">
        <v>2819.54</v>
      </c>
      <c r="AY14" s="13">
        <f t="shared" si="7"/>
        <v>0</v>
      </c>
      <c r="AZ14" s="12">
        <f t="shared" si="86"/>
        <v>-6.7584683406582857E-2</v>
      </c>
      <c r="BB14" s="3" t="s">
        <v>2</v>
      </c>
      <c r="BC14" s="15">
        <v>1116.1199999999999</v>
      </c>
      <c r="BD14" s="4">
        <v>0</v>
      </c>
      <c r="BE14" s="13">
        <v>1060.3499999999999</v>
      </c>
      <c r="BF14" s="13">
        <f t="shared" si="8"/>
        <v>0</v>
      </c>
      <c r="BG14" s="12">
        <f t="shared" si="87"/>
        <v>-4.9967745403720065E-2</v>
      </c>
      <c r="BH14" s="15">
        <v>997.53</v>
      </c>
      <c r="BI14" s="4">
        <v>0</v>
      </c>
      <c r="BJ14" s="13">
        <v>965.54</v>
      </c>
      <c r="BK14" s="13">
        <f t="shared" si="9"/>
        <v>0</v>
      </c>
      <c r="BL14" s="12">
        <f t="shared" si="88"/>
        <v>-3.2069210951049087E-2</v>
      </c>
      <c r="BM14" s="13">
        <v>933.29</v>
      </c>
      <c r="BN14" s="4">
        <v>0</v>
      </c>
      <c r="BO14" s="13">
        <v>886.67</v>
      </c>
      <c r="BP14" s="13">
        <f t="shared" si="10"/>
        <v>0</v>
      </c>
      <c r="BQ14" s="12">
        <f t="shared" si="89"/>
        <v>-4.9952319214820684E-2</v>
      </c>
      <c r="BR14" s="13">
        <v>830.12</v>
      </c>
      <c r="BS14" s="4">
        <v>0</v>
      </c>
      <c r="BT14" s="13">
        <v>788.65</v>
      </c>
      <c r="BU14" s="13">
        <f t="shared" si="11"/>
        <v>0</v>
      </c>
      <c r="BV14" s="12">
        <f t="shared" si="90"/>
        <v>-4.9956632775984278E-2</v>
      </c>
      <c r="BW14" s="15">
        <v>826.32</v>
      </c>
      <c r="BX14" s="4">
        <v>0</v>
      </c>
      <c r="BY14" s="13">
        <v>785.04</v>
      </c>
      <c r="BZ14" s="13">
        <f t="shared" si="12"/>
        <v>0</v>
      </c>
      <c r="CA14" s="12">
        <f t="shared" si="91"/>
        <v>-4.9956433343014917E-2</v>
      </c>
      <c r="CB14" s="15">
        <v>778.93</v>
      </c>
      <c r="CC14" s="4">
        <v>0</v>
      </c>
      <c r="CD14" s="13">
        <v>740.01</v>
      </c>
      <c r="CE14" s="13">
        <f t="shared" si="13"/>
        <v>0</v>
      </c>
      <c r="CF14" s="12">
        <f t="shared" si="92"/>
        <v>-4.9965978971152736E-2</v>
      </c>
      <c r="CH14" s="3" t="s">
        <v>2</v>
      </c>
      <c r="CI14" s="13">
        <v>3359.54</v>
      </c>
      <c r="CJ14" s="4">
        <v>1</v>
      </c>
      <c r="CK14" s="13">
        <v>3205.7</v>
      </c>
      <c r="CL14" s="13">
        <f t="shared" si="14"/>
        <v>3205.7</v>
      </c>
      <c r="CM14" s="12">
        <f t="shared" si="93"/>
        <v>-4.5791983426302418E-2</v>
      </c>
      <c r="CN14" s="15">
        <v>2953.93</v>
      </c>
      <c r="CO14" s="4">
        <v>0</v>
      </c>
      <c r="CP14" s="13">
        <v>2818.66</v>
      </c>
      <c r="CQ14" s="13">
        <f t="shared" si="15"/>
        <v>0</v>
      </c>
      <c r="CR14" s="12">
        <f t="shared" si="94"/>
        <v>-4.5793231390046429E-2</v>
      </c>
      <c r="CS14" s="13">
        <v>2788.13</v>
      </c>
      <c r="CT14" s="4">
        <v>1</v>
      </c>
      <c r="CU14" s="13">
        <v>2660.45</v>
      </c>
      <c r="CV14" s="13">
        <f t="shared" si="16"/>
        <v>2660.45</v>
      </c>
      <c r="CW14" s="12">
        <f t="shared" si="95"/>
        <v>-4.5794134419844257E-2</v>
      </c>
      <c r="CX14" s="13">
        <v>2479.34</v>
      </c>
      <c r="CY14" s="4">
        <v>1</v>
      </c>
      <c r="CZ14" s="13">
        <v>2321.96</v>
      </c>
      <c r="DA14" s="13">
        <f t="shared" si="17"/>
        <v>2321.96</v>
      </c>
      <c r="DB14" s="12">
        <f t="shared" si="96"/>
        <v>-6.3476570377600572E-2</v>
      </c>
      <c r="DC14" s="15">
        <v>2444.19</v>
      </c>
      <c r="DD14" s="4">
        <v>1</v>
      </c>
      <c r="DE14" s="13">
        <v>2289.04</v>
      </c>
      <c r="DF14" s="13">
        <f t="shared" si="18"/>
        <v>2289.04</v>
      </c>
      <c r="DG14" s="12">
        <f t="shared" si="97"/>
        <v>-6.3477061930537371E-2</v>
      </c>
      <c r="DH14" s="13">
        <v>2303.8000000000002</v>
      </c>
      <c r="DI14" s="4">
        <v>0</v>
      </c>
      <c r="DJ14" s="13">
        <v>2157.5500000000002</v>
      </c>
      <c r="DK14" s="13">
        <f t="shared" si="19"/>
        <v>0</v>
      </c>
      <c r="DL14" s="12">
        <f t="shared" si="98"/>
        <v>-6.3482073096623015E-2</v>
      </c>
      <c r="DN14" s="3" t="s">
        <v>2</v>
      </c>
      <c r="DO14" s="13">
        <v>7672.45</v>
      </c>
      <c r="DP14" s="4">
        <v>1</v>
      </c>
      <c r="DQ14" s="13">
        <v>7673.36</v>
      </c>
      <c r="DR14" s="13">
        <f t="shared" si="20"/>
        <v>7673.36</v>
      </c>
      <c r="DS14" s="20">
        <f t="shared" si="99"/>
        <v>1.1860618185854932E-4</v>
      </c>
      <c r="DU14" s="3" t="s">
        <v>2</v>
      </c>
      <c r="DV14" s="13">
        <v>4930.5</v>
      </c>
      <c r="DW14" s="4">
        <v>1</v>
      </c>
      <c r="DX14" s="13">
        <v>4931.09</v>
      </c>
      <c r="DY14" s="13">
        <f t="shared" si="21"/>
        <v>4931.09</v>
      </c>
      <c r="DZ14" s="20">
        <f t="shared" si="100"/>
        <v>1.1966332015012071E-4</v>
      </c>
      <c r="EB14" s="3" t="s">
        <v>2</v>
      </c>
      <c r="EC14" s="13">
        <v>4930.5</v>
      </c>
      <c r="ED14" s="4">
        <v>8</v>
      </c>
      <c r="EE14" s="13">
        <v>4931.09</v>
      </c>
      <c r="EF14" s="13">
        <f t="shared" si="22"/>
        <v>39448.720000000001</v>
      </c>
      <c r="EG14" s="20">
        <f t="shared" si="101"/>
        <v>1.1966332015012071E-4</v>
      </c>
      <c r="EI14" s="3" t="s">
        <v>2</v>
      </c>
      <c r="EJ14" s="13">
        <v>7478.45</v>
      </c>
      <c r="EK14" s="4">
        <v>0</v>
      </c>
      <c r="EL14" s="13">
        <v>7188.79</v>
      </c>
      <c r="EM14" s="13">
        <f t="shared" si="102"/>
        <v>0</v>
      </c>
      <c r="EN14" s="20">
        <f t="shared" si="103"/>
        <v>-3.8732625076051796E-2</v>
      </c>
      <c r="EO14" s="13">
        <v>3847.7</v>
      </c>
      <c r="EP14" s="4">
        <v>0</v>
      </c>
      <c r="EQ14" s="13">
        <v>3462.95</v>
      </c>
      <c r="ER14" s="13">
        <f t="shared" si="104"/>
        <v>0</v>
      </c>
      <c r="ES14" s="20">
        <f t="shared" si="105"/>
        <v>-9.999480208956002E-2</v>
      </c>
      <c r="ET14" s="13">
        <v>5024.72</v>
      </c>
      <c r="EU14" s="4">
        <v>0</v>
      </c>
      <c r="EV14" s="13">
        <v>4961.7299999999996</v>
      </c>
      <c r="EW14" s="13">
        <f t="shared" si="106"/>
        <v>0</v>
      </c>
      <c r="EX14" s="20">
        <f t="shared" si="107"/>
        <v>-1.2536021907688544E-2</v>
      </c>
      <c r="EY14" s="15">
        <v>3921.73</v>
      </c>
      <c r="EZ14" s="4">
        <v>0</v>
      </c>
      <c r="FA14" s="13">
        <v>3701.58</v>
      </c>
      <c r="FB14" s="13">
        <f t="shared" si="108"/>
        <v>0</v>
      </c>
      <c r="FC14" s="20">
        <f t="shared" si="109"/>
        <v>-5.6135940006068807E-2</v>
      </c>
      <c r="FD14" s="15">
        <v>3543.99</v>
      </c>
      <c r="FE14" s="4">
        <v>0</v>
      </c>
      <c r="FF14" s="13">
        <v>3375.88</v>
      </c>
      <c r="FG14" s="13">
        <f t="shared" si="110"/>
        <v>0</v>
      </c>
      <c r="FH14" s="20">
        <f t="shared" si="111"/>
        <v>-4.7435235426736444E-2</v>
      </c>
      <c r="FI14" s="13">
        <v>3400.87</v>
      </c>
      <c r="FJ14" s="4">
        <v>0</v>
      </c>
      <c r="FK14" s="13">
        <v>3401</v>
      </c>
      <c r="FL14" s="13">
        <f t="shared" si="112"/>
        <v>0</v>
      </c>
      <c r="FM14" s="20">
        <f t="shared" si="113"/>
        <v>3.8225512883460766E-5</v>
      </c>
      <c r="FN14" s="13">
        <v>3400.87</v>
      </c>
      <c r="FO14" s="4">
        <v>0</v>
      </c>
      <c r="FP14" s="13">
        <v>3061.07</v>
      </c>
      <c r="FQ14" s="13">
        <f t="shared" si="114"/>
        <v>0</v>
      </c>
      <c r="FR14" s="20">
        <f t="shared" si="115"/>
        <v>-9.9915609829249519E-2</v>
      </c>
      <c r="FS14" s="13">
        <v>3400.87</v>
      </c>
      <c r="FT14" s="4">
        <v>0</v>
      </c>
      <c r="FU14" s="13">
        <v>3239.54</v>
      </c>
      <c r="FV14" s="13">
        <f t="shared" si="116"/>
        <v>0</v>
      </c>
      <c r="FW14" s="20">
        <f t="shared" si="117"/>
        <v>-4.7437861488383803E-2</v>
      </c>
      <c r="FX14" s="15">
        <v>3887.24</v>
      </c>
      <c r="FY14" s="4">
        <v>0</v>
      </c>
      <c r="FZ14" s="13">
        <v>3601.02</v>
      </c>
      <c r="GA14" s="13">
        <f t="shared" si="118"/>
        <v>0</v>
      </c>
      <c r="GB14" s="20">
        <f t="shared" si="119"/>
        <v>-7.3630647966166141E-2</v>
      </c>
      <c r="GC14" s="13">
        <v>3206.58</v>
      </c>
      <c r="GD14" s="4">
        <v>0</v>
      </c>
      <c r="GE14" s="13">
        <v>3026.56</v>
      </c>
      <c r="GF14" s="13">
        <f t="shared" si="120"/>
        <v>0</v>
      </c>
      <c r="GG14" s="20">
        <f t="shared" si="121"/>
        <v>-5.6140810458494728E-2</v>
      </c>
      <c r="GH14" s="15">
        <v>3622.54</v>
      </c>
      <c r="GI14" s="4">
        <v>0</v>
      </c>
      <c r="GJ14" s="13">
        <v>3419.18</v>
      </c>
      <c r="GK14" s="13">
        <f t="shared" si="122"/>
        <v>0</v>
      </c>
      <c r="GL14" s="20">
        <f t="shared" si="123"/>
        <v>-5.6137406350240449E-2</v>
      </c>
      <c r="GM14" s="15">
        <v>2852.99</v>
      </c>
      <c r="GN14" s="4">
        <v>0</v>
      </c>
      <c r="GO14" s="13">
        <v>2642.91</v>
      </c>
      <c r="GP14" s="13">
        <f t="shared" si="124"/>
        <v>0</v>
      </c>
      <c r="GQ14" s="20">
        <f t="shared" si="125"/>
        <v>-7.3635028513944989E-2</v>
      </c>
      <c r="GR14" s="13">
        <v>6201.87</v>
      </c>
      <c r="GS14" s="4">
        <v>0</v>
      </c>
      <c r="GT14" s="13">
        <v>6016.16</v>
      </c>
      <c r="GU14" s="13">
        <f t="shared" si="126"/>
        <v>0</v>
      </c>
      <c r="GV14" s="20">
        <f t="shared" si="127"/>
        <v>-2.994419425108874E-2</v>
      </c>
      <c r="GW14" s="15">
        <v>2815.97</v>
      </c>
      <c r="GX14" s="4">
        <v>0</v>
      </c>
      <c r="GY14" s="13">
        <v>2608.63</v>
      </c>
      <c r="GZ14" s="13">
        <f t="shared" si="128"/>
        <v>0</v>
      </c>
      <c r="HA14" s="20">
        <f t="shared" si="129"/>
        <v>-7.3630045774635278E-2</v>
      </c>
      <c r="HB14" s="15">
        <v>3738.09</v>
      </c>
      <c r="HC14" s="4">
        <v>0</v>
      </c>
      <c r="HD14" s="13">
        <v>3462.85</v>
      </c>
      <c r="HE14" s="13">
        <f t="shared" si="130"/>
        <v>0</v>
      </c>
      <c r="HF14" s="20">
        <f t="shared" si="131"/>
        <v>-7.3631185980005842E-2</v>
      </c>
      <c r="HG14" s="15">
        <v>2649.49</v>
      </c>
      <c r="HH14" s="4">
        <v>0</v>
      </c>
      <c r="HI14" s="13">
        <v>2454.41</v>
      </c>
      <c r="HJ14" s="13">
        <f t="shared" si="132"/>
        <v>0</v>
      </c>
      <c r="HK14" s="20">
        <f t="shared" si="133"/>
        <v>-7.3629264499960323E-2</v>
      </c>
      <c r="HL14" s="13">
        <v>2680.23</v>
      </c>
      <c r="HM14" s="4">
        <v>0</v>
      </c>
      <c r="HN14" s="13">
        <v>2412.3200000000002</v>
      </c>
      <c r="HO14" s="13">
        <f t="shared" si="134"/>
        <v>0</v>
      </c>
      <c r="HP14" s="20">
        <f t="shared" si="135"/>
        <v>-9.9957839439152596E-2</v>
      </c>
      <c r="HQ14" s="13">
        <v>2680.23</v>
      </c>
      <c r="HR14" s="4">
        <v>0</v>
      </c>
      <c r="HS14" s="13">
        <v>2482.88</v>
      </c>
      <c r="HT14" s="13">
        <f t="shared" si="136"/>
        <v>0</v>
      </c>
      <c r="HU14" s="20">
        <f t="shared" si="137"/>
        <v>-7.3631740559578773E-2</v>
      </c>
      <c r="HV14" s="13">
        <v>6737.67</v>
      </c>
      <c r="HW14" s="4">
        <v>0</v>
      </c>
      <c r="HX14" s="13">
        <v>6653.2</v>
      </c>
      <c r="HY14" s="13">
        <f t="shared" si="138"/>
        <v>0</v>
      </c>
      <c r="HZ14" s="20">
        <f t="shared" si="139"/>
        <v>-1.2536974948313073E-2</v>
      </c>
      <c r="IB14" s="3" t="s">
        <v>2</v>
      </c>
      <c r="IC14" s="15">
        <v>1824.73</v>
      </c>
      <c r="ID14" s="4">
        <v>0</v>
      </c>
      <c r="IE14" s="13">
        <v>1750.94</v>
      </c>
      <c r="IF14" s="13">
        <f t="shared" si="23"/>
        <v>0</v>
      </c>
      <c r="IG14" s="20">
        <f t="shared" si="140"/>
        <v>-4.0438859447699094E-2</v>
      </c>
      <c r="IH14" s="13">
        <v>965.46</v>
      </c>
      <c r="II14" s="4">
        <v>0</v>
      </c>
      <c r="IJ14" s="13">
        <v>868.91</v>
      </c>
      <c r="IK14" s="13">
        <f t="shared" si="24"/>
        <v>0</v>
      </c>
      <c r="IL14" s="20">
        <f t="shared" si="141"/>
        <v>-0.10000414310276973</v>
      </c>
      <c r="IM14" s="13">
        <v>1161.1300000000001</v>
      </c>
      <c r="IN14" s="4">
        <v>0</v>
      </c>
      <c r="IO14" s="13">
        <v>1145.0899999999999</v>
      </c>
      <c r="IP14" s="13">
        <f t="shared" si="25"/>
        <v>0</v>
      </c>
      <c r="IQ14" s="20">
        <f t="shared" si="142"/>
        <v>-1.3814129339522863E-2</v>
      </c>
      <c r="IR14" s="13">
        <v>971.21</v>
      </c>
      <c r="IS14" s="4">
        <v>1</v>
      </c>
      <c r="IT14" s="13">
        <v>914.72</v>
      </c>
      <c r="IU14" s="13">
        <f t="shared" si="26"/>
        <v>914.72</v>
      </c>
      <c r="IV14" s="20">
        <f t="shared" si="143"/>
        <v>-5.8164557613698431E-2</v>
      </c>
      <c r="IW14" s="15">
        <v>813.6</v>
      </c>
      <c r="IX14" s="4">
        <v>0</v>
      </c>
      <c r="IY14" s="13">
        <v>766.28</v>
      </c>
      <c r="IZ14" s="13">
        <f t="shared" si="27"/>
        <v>0</v>
      </c>
      <c r="JA14" s="20">
        <f t="shared" si="144"/>
        <v>-5.8161258603736554E-2</v>
      </c>
      <c r="JB14" s="13">
        <v>868.03</v>
      </c>
      <c r="JC14" s="4">
        <v>7</v>
      </c>
      <c r="JD14" s="13">
        <v>868.04</v>
      </c>
      <c r="JE14" s="13">
        <f t="shared" si="28"/>
        <v>6076.28</v>
      </c>
      <c r="JF14" s="20">
        <f t="shared" si="145"/>
        <v>1.1520339158854753E-5</v>
      </c>
      <c r="JG14" s="13">
        <v>868.03</v>
      </c>
      <c r="JH14" s="4">
        <v>0</v>
      </c>
      <c r="JI14" s="13">
        <v>781.23</v>
      </c>
      <c r="JJ14" s="13">
        <f t="shared" si="29"/>
        <v>0</v>
      </c>
      <c r="JK14" s="20">
        <f t="shared" si="146"/>
        <v>-9.9996543898252299E-2</v>
      </c>
      <c r="JL14" s="13">
        <v>868.03</v>
      </c>
      <c r="JM14" s="4">
        <v>1</v>
      </c>
      <c r="JN14" s="13">
        <v>832.92</v>
      </c>
      <c r="JO14" s="13">
        <f t="shared" si="30"/>
        <v>832.92</v>
      </c>
      <c r="JP14" s="20">
        <f t="shared" si="147"/>
        <v>-4.0447910786493568E-2</v>
      </c>
      <c r="JQ14" s="15">
        <v>1000.19</v>
      </c>
      <c r="JR14" s="4">
        <v>0</v>
      </c>
      <c r="JS14" s="13">
        <v>942.01</v>
      </c>
      <c r="JT14" s="13">
        <f t="shared" si="31"/>
        <v>0</v>
      </c>
      <c r="JU14" s="20">
        <f t="shared" si="148"/>
        <v>-5.8168947899899126E-2</v>
      </c>
      <c r="JV14" s="15">
        <v>812.12</v>
      </c>
      <c r="JW14" s="4">
        <v>0</v>
      </c>
      <c r="JX14" s="13">
        <v>764.88</v>
      </c>
      <c r="JY14" s="13">
        <f t="shared" si="32"/>
        <v>0</v>
      </c>
      <c r="JZ14" s="20">
        <f t="shared" si="149"/>
        <v>-5.8168743535438105E-2</v>
      </c>
      <c r="KA14" s="13">
        <v>931.95</v>
      </c>
      <c r="KB14" s="4">
        <v>0</v>
      </c>
      <c r="KC14" s="13">
        <v>886.04</v>
      </c>
      <c r="KD14" s="13">
        <f t="shared" si="33"/>
        <v>0</v>
      </c>
      <c r="KE14" s="20">
        <f t="shared" si="150"/>
        <v>-4.9262299479585936E-2</v>
      </c>
      <c r="KF14" s="15">
        <v>722.34</v>
      </c>
      <c r="KG14" s="4">
        <v>0</v>
      </c>
      <c r="KH14" s="13">
        <v>680.33</v>
      </c>
      <c r="KI14" s="13">
        <f t="shared" si="34"/>
        <v>0</v>
      </c>
      <c r="KJ14" s="20">
        <f t="shared" si="151"/>
        <v>-5.8158208046072524E-2</v>
      </c>
      <c r="KK14" s="15">
        <v>1202.2</v>
      </c>
      <c r="KL14" s="4">
        <v>0</v>
      </c>
      <c r="KM14" s="13">
        <v>1185.5899999999999</v>
      </c>
      <c r="KN14" s="13">
        <f t="shared" si="35"/>
        <v>0</v>
      </c>
      <c r="KO14" s="20">
        <f t="shared" si="152"/>
        <v>-1.3816336716020783E-2</v>
      </c>
      <c r="KP14" s="15">
        <v>719.04</v>
      </c>
      <c r="KQ14" s="4">
        <v>0</v>
      </c>
      <c r="KR14" s="13">
        <v>677.21</v>
      </c>
      <c r="KS14" s="13">
        <f t="shared" si="36"/>
        <v>0</v>
      </c>
      <c r="KT14" s="20">
        <f t="shared" si="153"/>
        <v>-5.8174788607031513E-2</v>
      </c>
      <c r="KU14" s="13">
        <v>915.88</v>
      </c>
      <c r="KV14" s="4">
        <v>0</v>
      </c>
      <c r="KW14" s="13">
        <v>862.61</v>
      </c>
      <c r="KX14" s="13">
        <f t="shared" si="37"/>
        <v>0</v>
      </c>
      <c r="KY14" s="20">
        <f t="shared" si="154"/>
        <v>-5.8162641394069126E-2</v>
      </c>
      <c r="KZ14" s="15">
        <v>677.8</v>
      </c>
      <c r="LA14" s="4">
        <v>0</v>
      </c>
      <c r="LB14" s="13">
        <v>638.37</v>
      </c>
      <c r="LC14" s="13">
        <f t="shared" si="38"/>
        <v>0</v>
      </c>
      <c r="LD14" s="20">
        <f t="shared" si="155"/>
        <v>-5.8173502508114372E-2</v>
      </c>
      <c r="LE14" s="13">
        <v>679.2</v>
      </c>
      <c r="LF14" s="4">
        <v>43</v>
      </c>
      <c r="LG14" s="13">
        <v>611.36</v>
      </c>
      <c r="LH14" s="13">
        <f t="shared" si="39"/>
        <v>26288.48</v>
      </c>
      <c r="LI14" s="20">
        <f t="shared" si="156"/>
        <v>-9.98822143698469E-2</v>
      </c>
      <c r="LJ14" s="13">
        <v>679.2</v>
      </c>
      <c r="LK14" s="4">
        <v>0</v>
      </c>
      <c r="LL14" s="13">
        <v>639.70000000000005</v>
      </c>
      <c r="LM14" s="13">
        <f t="shared" si="40"/>
        <v>0</v>
      </c>
      <c r="LN14" s="20">
        <f t="shared" si="157"/>
        <v>-5.815665488810362E-2</v>
      </c>
      <c r="LO14" s="15">
        <v>1382.05</v>
      </c>
      <c r="LP14" s="4">
        <v>0</v>
      </c>
      <c r="LQ14" s="13">
        <v>1313.97</v>
      </c>
      <c r="LR14" s="13">
        <f t="shared" si="41"/>
        <v>0</v>
      </c>
      <c r="LS14" s="20">
        <f t="shared" si="158"/>
        <v>-4.9260157013132577E-2</v>
      </c>
      <c r="LU14" s="3" t="s">
        <v>2</v>
      </c>
      <c r="LV14" s="13">
        <v>5471.19</v>
      </c>
      <c r="LW14" s="4">
        <v>0</v>
      </c>
      <c r="LX14" s="13">
        <v>5263.46</v>
      </c>
      <c r="LY14" s="13">
        <f t="shared" si="42"/>
        <v>0</v>
      </c>
      <c r="LZ14" s="12">
        <f t="shared" si="159"/>
        <v>-3.7967974060487686E-2</v>
      </c>
      <c r="MA14" s="13">
        <v>2917.24</v>
      </c>
      <c r="MB14" s="4">
        <v>0</v>
      </c>
      <c r="MC14" s="13">
        <v>2625.62</v>
      </c>
      <c r="MD14" s="13">
        <f t="shared" si="43"/>
        <v>0</v>
      </c>
      <c r="ME14" s="12">
        <f t="shared" si="160"/>
        <v>-9.9964349864940849E-2</v>
      </c>
      <c r="MF14" s="13">
        <v>3562.54</v>
      </c>
      <c r="MG14" s="4">
        <v>0</v>
      </c>
      <c r="MH14" s="13">
        <v>3490.23</v>
      </c>
      <c r="MI14" s="13">
        <f t="shared" si="44"/>
        <v>0</v>
      </c>
      <c r="MJ14" s="12">
        <f t="shared" si="161"/>
        <v>-2.0297315959961093E-2</v>
      </c>
      <c r="MK14" s="15">
        <v>2932.84</v>
      </c>
      <c r="ML14" s="4">
        <v>0</v>
      </c>
      <c r="MM14" s="13">
        <v>2795.72</v>
      </c>
      <c r="MN14" s="13">
        <f t="shared" si="45"/>
        <v>0</v>
      </c>
      <c r="MO14" s="12">
        <f t="shared" si="162"/>
        <v>-4.6753317603415279E-2</v>
      </c>
      <c r="MP14" s="13">
        <v>2821.67</v>
      </c>
      <c r="MQ14" s="4">
        <v>0</v>
      </c>
      <c r="MR14" s="13">
        <v>2714.53</v>
      </c>
      <c r="MS14" s="13">
        <f t="shared" si="46"/>
        <v>0</v>
      </c>
      <c r="MT14" s="12">
        <f t="shared" si="163"/>
        <v>-3.7970421771504115E-2</v>
      </c>
      <c r="MU14" s="13">
        <v>2578.75</v>
      </c>
      <c r="MV14" s="4">
        <v>10</v>
      </c>
      <c r="MW14" s="13">
        <v>2578.9699999999998</v>
      </c>
      <c r="MX14" s="13">
        <f t="shared" si="47"/>
        <v>25789.699999999997</v>
      </c>
      <c r="MY14" s="12">
        <f t="shared" si="164"/>
        <v>8.5312651478375301E-5</v>
      </c>
      <c r="MZ14" s="13">
        <v>2578.75</v>
      </c>
      <c r="NA14" s="4">
        <v>0</v>
      </c>
      <c r="NB14" s="13">
        <v>2320.9699999999998</v>
      </c>
      <c r="NC14" s="13">
        <f t="shared" si="48"/>
        <v>0</v>
      </c>
      <c r="ND14" s="12">
        <f t="shared" si="165"/>
        <v>-9.9963160445952548E-2</v>
      </c>
      <c r="NE14" s="13">
        <v>2578.75</v>
      </c>
      <c r="NF14" s="4">
        <v>4</v>
      </c>
      <c r="NG14" s="13">
        <v>2458.17</v>
      </c>
      <c r="NH14" s="13">
        <f t="shared" si="49"/>
        <v>9832.68</v>
      </c>
      <c r="NI14" s="12">
        <f t="shared" si="166"/>
        <v>-4.6759088705768281E-2</v>
      </c>
      <c r="NJ14" s="13">
        <v>2966.89</v>
      </c>
      <c r="NK14" s="4">
        <v>3</v>
      </c>
      <c r="NL14" s="13">
        <v>2775.76</v>
      </c>
      <c r="NM14" s="13">
        <f t="shared" si="50"/>
        <v>8327.2800000000007</v>
      </c>
      <c r="NN14" s="12">
        <f t="shared" si="167"/>
        <v>-6.4420993026367612E-2</v>
      </c>
      <c r="NO14" s="13">
        <v>2434.0100000000002</v>
      </c>
      <c r="NP14" s="4">
        <v>0</v>
      </c>
      <c r="NQ14" s="13">
        <v>2320.1999999999998</v>
      </c>
      <c r="NR14" s="13">
        <f t="shared" si="51"/>
        <v>0</v>
      </c>
      <c r="NS14" s="12">
        <f t="shared" si="168"/>
        <v>-4.6758230245562027E-2</v>
      </c>
      <c r="NT14" s="13">
        <v>2764.2</v>
      </c>
      <c r="NU14" s="4">
        <v>2</v>
      </c>
      <c r="NV14" s="13">
        <v>2634.94</v>
      </c>
      <c r="NW14" s="13">
        <f t="shared" si="52"/>
        <v>5269.88</v>
      </c>
      <c r="NX14" s="12">
        <f t="shared" si="169"/>
        <v>-4.6762173504087845E-2</v>
      </c>
      <c r="NY14" s="13">
        <v>2164.44</v>
      </c>
      <c r="NZ14" s="4">
        <v>1</v>
      </c>
      <c r="OA14" s="13">
        <v>2025</v>
      </c>
      <c r="OB14" s="13">
        <f t="shared" si="53"/>
        <v>2025</v>
      </c>
      <c r="OC14" s="12">
        <f t="shared" si="170"/>
        <v>-6.4423130232300285E-2</v>
      </c>
      <c r="OD14" s="15">
        <v>3980.8</v>
      </c>
      <c r="OE14" s="4">
        <v>0</v>
      </c>
      <c r="OF14" s="13">
        <v>3899.99</v>
      </c>
      <c r="OG14" s="13">
        <f t="shared" si="54"/>
        <v>0</v>
      </c>
      <c r="OH14" s="12">
        <f t="shared" si="171"/>
        <v>-2.0299939710611059E-2</v>
      </c>
      <c r="OI14" s="15">
        <v>2133.75</v>
      </c>
      <c r="OJ14" s="4">
        <v>0</v>
      </c>
      <c r="OK14" s="13">
        <v>1996.3</v>
      </c>
      <c r="OL14" s="13">
        <f t="shared" si="55"/>
        <v>0</v>
      </c>
      <c r="OM14" s="12">
        <f t="shared" si="172"/>
        <v>-6.4417106033977767E-2</v>
      </c>
      <c r="ON14" s="13">
        <v>2712.52</v>
      </c>
      <c r="OO14" s="4">
        <v>0</v>
      </c>
      <c r="OP14" s="13">
        <v>2537.7800000000002</v>
      </c>
      <c r="OQ14" s="13">
        <f t="shared" si="56"/>
        <v>0</v>
      </c>
      <c r="OR14" s="12">
        <f t="shared" si="173"/>
        <v>-6.4419801512984209E-2</v>
      </c>
      <c r="OS14" s="13">
        <v>2011.19</v>
      </c>
      <c r="OT14" s="4">
        <v>4</v>
      </c>
      <c r="OU14" s="13">
        <v>1881.62</v>
      </c>
      <c r="OV14" s="13">
        <f t="shared" si="57"/>
        <v>7526.48</v>
      </c>
      <c r="OW14" s="12">
        <f t="shared" si="174"/>
        <v>-6.4424544672557094E-2</v>
      </c>
      <c r="OX14" s="13">
        <v>2035.64</v>
      </c>
      <c r="OY14" s="4">
        <v>1</v>
      </c>
      <c r="OZ14" s="13">
        <v>1832.16</v>
      </c>
      <c r="PA14" s="13">
        <f t="shared" si="58"/>
        <v>1832.16</v>
      </c>
      <c r="PB14" s="12">
        <f t="shared" si="175"/>
        <v>-9.9958735336307059E-2</v>
      </c>
      <c r="PC14" s="13">
        <v>2035.64</v>
      </c>
      <c r="PD14" s="4">
        <v>2</v>
      </c>
      <c r="PE14" s="13">
        <v>1940.47</v>
      </c>
      <c r="PF14" s="13">
        <f t="shared" si="59"/>
        <v>3880.94</v>
      </c>
      <c r="PG14" s="12">
        <f t="shared" si="176"/>
        <v>-4.6751881472166024E-2</v>
      </c>
      <c r="PH14" s="13">
        <v>4101.66</v>
      </c>
      <c r="PI14" s="4">
        <v>0</v>
      </c>
      <c r="PJ14" s="13">
        <v>3945.92</v>
      </c>
      <c r="PK14" s="13">
        <f t="shared" si="60"/>
        <v>0</v>
      </c>
      <c r="PL14" s="12">
        <f t="shared" si="177"/>
        <v>-3.7969992637127303E-2</v>
      </c>
      <c r="PN14" s="3" t="s">
        <v>2</v>
      </c>
      <c r="PO14" s="15">
        <v>5133.45</v>
      </c>
      <c r="PP14" s="4"/>
      <c r="PQ14" s="13"/>
      <c r="PR14" s="13">
        <f t="shared" si="61"/>
        <v>0</v>
      </c>
      <c r="PS14" s="12">
        <f t="shared" si="178"/>
        <v>-1</v>
      </c>
      <c r="PT14" s="13">
        <v>2737.16</v>
      </c>
      <c r="PU14" s="4">
        <v>0</v>
      </c>
      <c r="PV14" s="13"/>
      <c r="PW14" s="13">
        <f t="shared" si="62"/>
        <v>0</v>
      </c>
      <c r="PX14" s="12">
        <f t="shared" si="179"/>
        <v>-1</v>
      </c>
      <c r="PY14" s="13">
        <v>3342.63</v>
      </c>
      <c r="PZ14" s="4">
        <v>0</v>
      </c>
      <c r="QA14" s="13"/>
      <c r="QB14" s="13">
        <f t="shared" si="63"/>
        <v>0</v>
      </c>
      <c r="QC14" s="12">
        <f t="shared" si="180"/>
        <v>-1</v>
      </c>
      <c r="QD14" s="15">
        <v>2751.8</v>
      </c>
      <c r="QE14" s="4"/>
      <c r="QF14" s="13"/>
      <c r="QG14" s="13">
        <f t="shared" si="64"/>
        <v>0</v>
      </c>
      <c r="QH14" s="12">
        <f t="shared" si="181"/>
        <v>-1</v>
      </c>
      <c r="QI14" s="15">
        <v>2647.49</v>
      </c>
      <c r="QJ14" s="4"/>
      <c r="QK14" s="13"/>
      <c r="QL14" s="13">
        <f t="shared" si="65"/>
        <v>0</v>
      </c>
      <c r="QM14" s="12">
        <f t="shared" si="182"/>
        <v>-1</v>
      </c>
      <c r="QN14" s="15">
        <v>2419.5700000000002</v>
      </c>
      <c r="QO14" s="4"/>
      <c r="QP14" s="13"/>
      <c r="QQ14" s="13">
        <f t="shared" si="66"/>
        <v>0</v>
      </c>
      <c r="QR14" s="12">
        <f t="shared" si="183"/>
        <v>-1</v>
      </c>
      <c r="QS14" s="15">
        <v>2783.75</v>
      </c>
      <c r="QT14" s="4"/>
      <c r="QU14" s="13"/>
      <c r="QV14" s="13">
        <f t="shared" si="67"/>
        <v>0</v>
      </c>
      <c r="QW14" s="12">
        <f t="shared" si="184"/>
        <v>-1</v>
      </c>
      <c r="QX14" s="15">
        <v>2283.7600000000002</v>
      </c>
      <c r="QY14" s="4"/>
      <c r="QZ14" s="13"/>
      <c r="RA14" s="13">
        <f t="shared" si="68"/>
        <v>0</v>
      </c>
      <c r="RB14" s="12">
        <f t="shared" si="185"/>
        <v>-1</v>
      </c>
      <c r="RC14" s="15">
        <v>2593.56</v>
      </c>
      <c r="RD14" s="4"/>
      <c r="RE14" s="13"/>
      <c r="RF14" s="13">
        <f t="shared" si="69"/>
        <v>0</v>
      </c>
      <c r="RG14" s="12">
        <f t="shared" si="186"/>
        <v>-1</v>
      </c>
      <c r="RH14" s="15">
        <v>2030.83</v>
      </c>
      <c r="RI14" s="4"/>
      <c r="RJ14" s="13"/>
      <c r="RK14" s="13">
        <f t="shared" si="70"/>
        <v>0</v>
      </c>
      <c r="RL14" s="12">
        <f t="shared" si="187"/>
        <v>-1</v>
      </c>
      <c r="RM14" s="15">
        <v>3735.06</v>
      </c>
      <c r="RN14" s="4"/>
      <c r="RO14" s="13"/>
      <c r="RP14" s="13">
        <f t="shared" si="71"/>
        <v>0</v>
      </c>
      <c r="RQ14" s="12">
        <f t="shared" si="188"/>
        <v>-1</v>
      </c>
      <c r="RR14" s="15">
        <v>2002.04</v>
      </c>
      <c r="RS14" s="4"/>
      <c r="RT14" s="13"/>
      <c r="RU14" s="13">
        <f t="shared" si="72"/>
        <v>0</v>
      </c>
      <c r="RV14" s="12">
        <f t="shared" si="189"/>
        <v>-1</v>
      </c>
      <c r="RW14" s="15">
        <v>2545.08</v>
      </c>
      <c r="RX14" s="4"/>
      <c r="RY14" s="13"/>
      <c r="RZ14" s="13">
        <f t="shared" si="73"/>
        <v>0</v>
      </c>
      <c r="SA14" s="12">
        <f t="shared" si="190"/>
        <v>-1</v>
      </c>
      <c r="SB14" s="15">
        <v>1887.04</v>
      </c>
      <c r="SC14" s="4"/>
      <c r="SD14" s="13"/>
      <c r="SE14" s="13">
        <f t="shared" si="74"/>
        <v>0</v>
      </c>
      <c r="SF14" s="12">
        <f t="shared" si="191"/>
        <v>-1</v>
      </c>
      <c r="SG14" s="15">
        <v>1909.98</v>
      </c>
      <c r="SH14" s="4"/>
      <c r="SI14" s="13"/>
      <c r="SJ14" s="13">
        <f t="shared" si="75"/>
        <v>0</v>
      </c>
      <c r="SK14" s="12">
        <f t="shared" si="192"/>
        <v>-1</v>
      </c>
      <c r="SL14" s="15">
        <v>3848.47</v>
      </c>
      <c r="SM14" s="4"/>
      <c r="SN14" s="13"/>
      <c r="SO14" s="13">
        <f t="shared" si="76"/>
        <v>0</v>
      </c>
      <c r="SP14" s="12">
        <f t="shared" si="193"/>
        <v>-1</v>
      </c>
    </row>
    <row r="15" spans="1:510" x14ac:dyDescent="0.25">
      <c r="A15" s="3" t="s">
        <v>3</v>
      </c>
      <c r="B15" s="13">
        <v>4798.03</v>
      </c>
      <c r="C15" s="4">
        <v>0</v>
      </c>
      <c r="D15" s="13">
        <v>4318.21</v>
      </c>
      <c r="E15" s="13">
        <f t="shared" si="77"/>
        <v>0</v>
      </c>
      <c r="F15" s="20">
        <f t="shared" si="78"/>
        <v>-0.10000354312082249</v>
      </c>
      <c r="H15" s="3" t="s">
        <v>3</v>
      </c>
      <c r="I15" s="13">
        <v>1227.3</v>
      </c>
      <c r="J15" s="4">
        <v>0</v>
      </c>
      <c r="K15" s="13">
        <v>1104.6199999999999</v>
      </c>
      <c r="L15" s="13">
        <f t="shared" si="0"/>
        <v>0</v>
      </c>
      <c r="M15" s="20">
        <f t="shared" si="79"/>
        <v>-9.9959260164589003E-2</v>
      </c>
      <c r="O15" s="3" t="s">
        <v>3</v>
      </c>
      <c r="P15" s="13">
        <v>3651.28</v>
      </c>
      <c r="Q15" s="4">
        <v>3</v>
      </c>
      <c r="R15" s="13">
        <v>3286.14</v>
      </c>
      <c r="S15" s="13">
        <f t="shared" si="1"/>
        <v>9858.42</v>
      </c>
      <c r="T15" s="20">
        <f t="shared" si="80"/>
        <v>-0.10000328651870038</v>
      </c>
      <c r="V15" s="3" t="s">
        <v>3</v>
      </c>
      <c r="W15" s="15">
        <v>4892.08</v>
      </c>
      <c r="X15" s="4">
        <v>0</v>
      </c>
      <c r="Y15" s="13">
        <v>4600.42</v>
      </c>
      <c r="Z15" s="13">
        <f t="shared" si="2"/>
        <v>0</v>
      </c>
      <c r="AA15" s="12">
        <f t="shared" si="81"/>
        <v>-5.9618812447874925E-2</v>
      </c>
      <c r="AB15" s="15">
        <v>4242.34</v>
      </c>
      <c r="AC15" s="4">
        <v>0</v>
      </c>
      <c r="AD15" s="13">
        <v>4026.2</v>
      </c>
      <c r="AE15" s="13">
        <f t="shared" si="3"/>
        <v>0</v>
      </c>
      <c r="AF15" s="12">
        <f t="shared" si="82"/>
        <v>-5.0948297401905651E-2</v>
      </c>
      <c r="AG15" s="33">
        <v>3959.38</v>
      </c>
      <c r="AH15" s="4">
        <v>0</v>
      </c>
      <c r="AI15" s="13">
        <v>3761.5</v>
      </c>
      <c r="AJ15" s="13">
        <f t="shared" si="4"/>
        <v>0</v>
      </c>
      <c r="AK15" s="12">
        <f t="shared" si="83"/>
        <v>-4.9977521733200692E-2</v>
      </c>
      <c r="AL15" s="15">
        <v>3558.9</v>
      </c>
      <c r="AM15" s="4">
        <v>0</v>
      </c>
      <c r="AN15" s="13">
        <v>3284.71</v>
      </c>
      <c r="AO15" s="13">
        <f t="shared" si="5"/>
        <v>0</v>
      </c>
      <c r="AP15" s="12">
        <f t="shared" si="84"/>
        <v>-7.7043468487454025E-2</v>
      </c>
      <c r="AQ15" s="15">
        <v>3512.73</v>
      </c>
      <c r="AR15" s="4">
        <v>0</v>
      </c>
      <c r="AS15" s="13">
        <v>3242.1</v>
      </c>
      <c r="AT15" s="13">
        <f t="shared" si="6"/>
        <v>0</v>
      </c>
      <c r="AU15" s="12">
        <f t="shared" si="85"/>
        <v>-7.7042642047638221E-2</v>
      </c>
      <c r="AV15" s="33">
        <v>3271.51</v>
      </c>
      <c r="AW15" s="4">
        <v>0</v>
      </c>
      <c r="AX15" s="13">
        <v>3050.41</v>
      </c>
      <c r="AY15" s="13">
        <f t="shared" si="7"/>
        <v>0</v>
      </c>
      <c r="AZ15" s="12">
        <f t="shared" si="86"/>
        <v>-6.7583470629770437E-2</v>
      </c>
      <c r="BB15" s="3" t="s">
        <v>3</v>
      </c>
      <c r="BC15" s="15">
        <v>1227.3</v>
      </c>
      <c r="BD15" s="4">
        <v>0</v>
      </c>
      <c r="BE15" s="13">
        <v>1166</v>
      </c>
      <c r="BF15" s="13">
        <f t="shared" si="8"/>
        <v>0</v>
      </c>
      <c r="BG15" s="12">
        <f t="shared" si="87"/>
        <v>-4.9947038213965622E-2</v>
      </c>
      <c r="BH15" s="15">
        <v>1096.9100000000001</v>
      </c>
      <c r="BI15" s="4">
        <v>0</v>
      </c>
      <c r="BJ15" s="13">
        <v>1061.73</v>
      </c>
      <c r="BK15" s="13">
        <f t="shared" si="9"/>
        <v>0</v>
      </c>
      <c r="BL15" s="12">
        <f t="shared" si="88"/>
        <v>-3.2071911095714389E-2</v>
      </c>
      <c r="BM15" s="13">
        <v>1026.27</v>
      </c>
      <c r="BN15" s="4">
        <v>1</v>
      </c>
      <c r="BO15" s="13">
        <v>975</v>
      </c>
      <c r="BP15" s="13">
        <f t="shared" si="10"/>
        <v>975</v>
      </c>
      <c r="BQ15" s="12">
        <f t="shared" si="89"/>
        <v>-4.9957613493525121E-2</v>
      </c>
      <c r="BR15" s="13">
        <v>912.82</v>
      </c>
      <c r="BS15" s="4">
        <v>2</v>
      </c>
      <c r="BT15" s="13">
        <v>867.21</v>
      </c>
      <c r="BU15" s="13">
        <f t="shared" si="11"/>
        <v>1734.42</v>
      </c>
      <c r="BV15" s="12">
        <f t="shared" si="90"/>
        <v>-4.9966039306763688E-2</v>
      </c>
      <c r="BW15" s="15">
        <v>908.64</v>
      </c>
      <c r="BX15" s="4">
        <v>0</v>
      </c>
      <c r="BY15" s="13">
        <v>863.25</v>
      </c>
      <c r="BZ15" s="13">
        <f t="shared" si="12"/>
        <v>0</v>
      </c>
      <c r="CA15" s="12">
        <f t="shared" si="91"/>
        <v>-4.9953777073428407E-2</v>
      </c>
      <c r="CB15" s="15">
        <v>856.53</v>
      </c>
      <c r="CC15" s="4">
        <v>0</v>
      </c>
      <c r="CD15" s="13">
        <v>813.74</v>
      </c>
      <c r="CE15" s="13">
        <f t="shared" si="13"/>
        <v>0</v>
      </c>
      <c r="CF15" s="12">
        <f t="shared" si="92"/>
        <v>-4.9957386197798104E-2</v>
      </c>
      <c r="CH15" s="3" t="s">
        <v>3</v>
      </c>
      <c r="CI15" s="13">
        <v>3694.22</v>
      </c>
      <c r="CJ15" s="4">
        <v>3</v>
      </c>
      <c r="CK15" s="13">
        <v>3525.05</v>
      </c>
      <c r="CL15" s="13">
        <f t="shared" si="14"/>
        <v>10575.150000000001</v>
      </c>
      <c r="CM15" s="12">
        <f t="shared" si="93"/>
        <v>-4.5793157960272945E-2</v>
      </c>
      <c r="CN15" s="15">
        <v>3248.21</v>
      </c>
      <c r="CO15" s="4">
        <v>0</v>
      </c>
      <c r="CP15" s="13">
        <v>3099.47</v>
      </c>
      <c r="CQ15" s="13">
        <f t="shared" si="15"/>
        <v>0</v>
      </c>
      <c r="CR15" s="12">
        <f t="shared" si="94"/>
        <v>-4.5791374326167422E-2</v>
      </c>
      <c r="CS15" s="13">
        <v>3065.9</v>
      </c>
      <c r="CT15" s="4">
        <v>3</v>
      </c>
      <c r="CU15" s="13">
        <v>2925.5</v>
      </c>
      <c r="CV15" s="13">
        <f t="shared" si="16"/>
        <v>8776.5</v>
      </c>
      <c r="CW15" s="12">
        <f t="shared" si="95"/>
        <v>-4.5794057209954664E-2</v>
      </c>
      <c r="CX15" s="13">
        <v>2726.34</v>
      </c>
      <c r="CY15" s="4">
        <v>2</v>
      </c>
      <c r="CZ15" s="13">
        <v>2553.29</v>
      </c>
      <c r="DA15" s="13">
        <f t="shared" si="17"/>
        <v>5106.58</v>
      </c>
      <c r="DB15" s="12">
        <f t="shared" si="96"/>
        <v>-6.3473374560766516E-2</v>
      </c>
      <c r="DC15" s="15">
        <v>2687.69</v>
      </c>
      <c r="DD15" s="4">
        <v>0</v>
      </c>
      <c r="DE15" s="13">
        <v>2517.09</v>
      </c>
      <c r="DF15" s="13">
        <f t="shared" si="18"/>
        <v>0</v>
      </c>
      <c r="DG15" s="12">
        <f t="shared" si="97"/>
        <v>-6.3474582262091239E-2</v>
      </c>
      <c r="DH15" s="13">
        <v>2533.3000000000002</v>
      </c>
      <c r="DI15" s="4">
        <v>0</v>
      </c>
      <c r="DJ15" s="13">
        <v>2372.5</v>
      </c>
      <c r="DK15" s="13">
        <f t="shared" si="19"/>
        <v>0</v>
      </c>
      <c r="DL15" s="12">
        <f t="shared" si="98"/>
        <v>-6.3474519401571117E-2</v>
      </c>
      <c r="DN15" s="3" t="s">
        <v>3</v>
      </c>
      <c r="DO15" s="13">
        <v>8300.73</v>
      </c>
      <c r="DP15" s="4">
        <v>0</v>
      </c>
      <c r="DQ15" s="13">
        <v>8301.7099999999991</v>
      </c>
      <c r="DR15" s="13">
        <f t="shared" si="20"/>
        <v>0</v>
      </c>
      <c r="DS15" s="20">
        <f t="shared" si="99"/>
        <v>1.1806190539864758E-4</v>
      </c>
      <c r="DU15" s="3" t="s">
        <v>3</v>
      </c>
      <c r="DV15" s="13">
        <v>5421.7</v>
      </c>
      <c r="DW15" s="4">
        <v>1</v>
      </c>
      <c r="DX15" s="13">
        <v>5422.34</v>
      </c>
      <c r="DY15" s="13">
        <f t="shared" si="21"/>
        <v>5422.34</v>
      </c>
      <c r="DZ15" s="20">
        <f t="shared" si="100"/>
        <v>1.1804415589211636E-4</v>
      </c>
      <c r="EB15" s="3" t="s">
        <v>3</v>
      </c>
      <c r="EC15" s="13">
        <v>5421.7</v>
      </c>
      <c r="ED15" s="4">
        <v>5</v>
      </c>
      <c r="EE15" s="13">
        <v>5422.34</v>
      </c>
      <c r="EF15" s="13">
        <f t="shared" si="22"/>
        <v>27111.7</v>
      </c>
      <c r="EG15" s="20">
        <f t="shared" si="101"/>
        <v>1.1804415589211636E-4</v>
      </c>
      <c r="EI15" s="3" t="s">
        <v>3</v>
      </c>
      <c r="EJ15" s="13">
        <v>8090.84</v>
      </c>
      <c r="EK15" s="4">
        <v>0</v>
      </c>
      <c r="EL15" s="13">
        <v>7777.46</v>
      </c>
      <c r="EM15" s="13">
        <f t="shared" si="102"/>
        <v>0</v>
      </c>
      <c r="EN15" s="20">
        <f t="shared" si="103"/>
        <v>-3.8732690301625072E-2</v>
      </c>
      <c r="EO15" s="13">
        <v>4162.79</v>
      </c>
      <c r="EP15" s="4">
        <v>0</v>
      </c>
      <c r="EQ15" s="13">
        <v>3746.51</v>
      </c>
      <c r="ER15" s="13">
        <f t="shared" si="104"/>
        <v>0</v>
      </c>
      <c r="ES15" s="20">
        <f t="shared" si="105"/>
        <v>-0.10000024022350384</v>
      </c>
      <c r="ET15" s="13">
        <v>5436.19</v>
      </c>
      <c r="EU15" s="4">
        <v>0</v>
      </c>
      <c r="EV15" s="13">
        <v>5368.03</v>
      </c>
      <c r="EW15" s="13">
        <f t="shared" si="106"/>
        <v>0</v>
      </c>
      <c r="EX15" s="20">
        <f t="shared" si="107"/>
        <v>-1.2538193109512319E-2</v>
      </c>
      <c r="EY15" s="15">
        <v>4242.87</v>
      </c>
      <c r="EZ15" s="4">
        <v>0</v>
      </c>
      <c r="FA15" s="13">
        <v>4004.68</v>
      </c>
      <c r="FB15" s="13">
        <f t="shared" si="108"/>
        <v>0</v>
      </c>
      <c r="FC15" s="20">
        <f t="shared" si="109"/>
        <v>-5.6138887121217507E-2</v>
      </c>
      <c r="FD15" s="15">
        <v>3834.2</v>
      </c>
      <c r="FE15" s="4">
        <v>1</v>
      </c>
      <c r="FF15" s="13">
        <v>3652.33</v>
      </c>
      <c r="FG15" s="13">
        <f t="shared" si="110"/>
        <v>3652.33</v>
      </c>
      <c r="FH15" s="20">
        <f t="shared" si="111"/>
        <v>-4.7433623702467287E-2</v>
      </c>
      <c r="FI15" s="13">
        <v>3679.35</v>
      </c>
      <c r="FJ15" s="4">
        <v>0</v>
      </c>
      <c r="FK15" s="13">
        <v>3679.49</v>
      </c>
      <c r="FL15" s="13">
        <f t="shared" si="112"/>
        <v>0</v>
      </c>
      <c r="FM15" s="20">
        <f t="shared" si="113"/>
        <v>3.8050199083983216E-5</v>
      </c>
      <c r="FN15" s="13">
        <v>3679.35</v>
      </c>
      <c r="FO15" s="4">
        <v>0</v>
      </c>
      <c r="FP15" s="13">
        <v>3311.73</v>
      </c>
      <c r="FQ15" s="13">
        <f t="shared" si="114"/>
        <v>0</v>
      </c>
      <c r="FR15" s="20">
        <f t="shared" si="115"/>
        <v>-9.9914387052060794E-2</v>
      </c>
      <c r="FS15" s="13">
        <v>3679.35</v>
      </c>
      <c r="FT15" s="4">
        <v>2</v>
      </c>
      <c r="FU15" s="13">
        <v>3504.82</v>
      </c>
      <c r="FV15" s="13">
        <f t="shared" si="116"/>
        <v>7009.64</v>
      </c>
      <c r="FW15" s="20">
        <f t="shared" si="117"/>
        <v>-4.7435008901028697E-2</v>
      </c>
      <c r="FX15" s="15">
        <v>4205.55</v>
      </c>
      <c r="FY15" s="4">
        <v>0</v>
      </c>
      <c r="FZ15" s="13">
        <v>3895.89</v>
      </c>
      <c r="GA15" s="13">
        <f t="shared" si="118"/>
        <v>0</v>
      </c>
      <c r="GB15" s="20">
        <f t="shared" si="119"/>
        <v>-7.3631272960730576E-2</v>
      </c>
      <c r="GC15" s="13">
        <v>3469.14</v>
      </c>
      <c r="GD15" s="4">
        <v>0</v>
      </c>
      <c r="GE15" s="13">
        <v>3274.4</v>
      </c>
      <c r="GF15" s="13">
        <f t="shared" si="120"/>
        <v>0</v>
      </c>
      <c r="GG15" s="20">
        <f t="shared" si="121"/>
        <v>-5.6134949872302609E-2</v>
      </c>
      <c r="GH15" s="15">
        <v>3919.18</v>
      </c>
      <c r="GI15" s="4">
        <v>0</v>
      </c>
      <c r="GJ15" s="13">
        <v>3699.17</v>
      </c>
      <c r="GK15" s="13">
        <f t="shared" si="122"/>
        <v>0</v>
      </c>
      <c r="GL15" s="20">
        <f t="shared" si="123"/>
        <v>-5.6136742890094293E-2</v>
      </c>
      <c r="GM15" s="15">
        <v>3086.61</v>
      </c>
      <c r="GN15" s="4">
        <v>0</v>
      </c>
      <c r="GO15" s="13">
        <v>2859.34</v>
      </c>
      <c r="GP15" s="13">
        <f t="shared" si="124"/>
        <v>0</v>
      </c>
      <c r="GQ15" s="20">
        <f t="shared" si="125"/>
        <v>-7.3630941388772797E-2</v>
      </c>
      <c r="GR15" s="13">
        <v>6709.73</v>
      </c>
      <c r="GS15" s="4">
        <v>0</v>
      </c>
      <c r="GT15" s="13">
        <v>6508.81</v>
      </c>
      <c r="GU15" s="13">
        <f t="shared" si="126"/>
        <v>0</v>
      </c>
      <c r="GV15" s="20">
        <f t="shared" si="127"/>
        <v>-2.9944573030509347E-2</v>
      </c>
      <c r="GW15" s="15">
        <v>3046.57</v>
      </c>
      <c r="GX15" s="4">
        <v>0</v>
      </c>
      <c r="GY15" s="13">
        <v>2822.26</v>
      </c>
      <c r="GZ15" s="13">
        <f t="shared" si="128"/>
        <v>0</v>
      </c>
      <c r="HA15" s="20">
        <f t="shared" si="129"/>
        <v>-7.362706256544238E-2</v>
      </c>
      <c r="HB15" s="15">
        <v>4044.19</v>
      </c>
      <c r="HC15" s="4">
        <v>0</v>
      </c>
      <c r="HD15" s="13">
        <v>3746.42</v>
      </c>
      <c r="HE15" s="13">
        <f t="shared" si="130"/>
        <v>0</v>
      </c>
      <c r="HF15" s="20">
        <f t="shared" si="131"/>
        <v>-7.3629082708774773E-2</v>
      </c>
      <c r="HG15" s="15">
        <v>2866.44</v>
      </c>
      <c r="HH15" s="4">
        <v>0</v>
      </c>
      <c r="HI15" s="13">
        <v>2655.39</v>
      </c>
      <c r="HJ15" s="13">
        <f t="shared" si="132"/>
        <v>0</v>
      </c>
      <c r="HK15" s="20">
        <f t="shared" si="133"/>
        <v>-7.3627914765353575E-2</v>
      </c>
      <c r="HL15" s="13">
        <v>2899.7</v>
      </c>
      <c r="HM15" s="4">
        <v>2</v>
      </c>
      <c r="HN15" s="13">
        <v>2609.85</v>
      </c>
      <c r="HO15" s="13">
        <f t="shared" si="134"/>
        <v>5219.7</v>
      </c>
      <c r="HP15" s="20">
        <f t="shared" si="135"/>
        <v>-9.9958616408593937E-2</v>
      </c>
      <c r="HQ15" s="13">
        <v>2899.7</v>
      </c>
      <c r="HR15" s="4">
        <v>3</v>
      </c>
      <c r="HS15" s="13">
        <v>2686.2</v>
      </c>
      <c r="HT15" s="13">
        <f t="shared" si="136"/>
        <v>8058.5999999999995</v>
      </c>
      <c r="HU15" s="20">
        <f t="shared" si="137"/>
        <v>-7.3628306376521735E-2</v>
      </c>
      <c r="HV15" s="13">
        <v>7289.41</v>
      </c>
      <c r="HW15" s="4">
        <v>0</v>
      </c>
      <c r="HX15" s="13">
        <v>7198</v>
      </c>
      <c r="HY15" s="13">
        <f t="shared" si="138"/>
        <v>0</v>
      </c>
      <c r="HZ15" s="20">
        <f t="shared" si="139"/>
        <v>-1.2540109556191781E-2</v>
      </c>
      <c r="IB15" s="3" t="s">
        <v>3</v>
      </c>
      <c r="IC15" s="15">
        <v>2006.52</v>
      </c>
      <c r="ID15" s="4">
        <v>0</v>
      </c>
      <c r="IE15" s="13">
        <v>1925.37</v>
      </c>
      <c r="IF15" s="13">
        <f t="shared" si="23"/>
        <v>0</v>
      </c>
      <c r="IG15" s="20">
        <f t="shared" si="140"/>
        <v>-4.0443155313677481E-2</v>
      </c>
      <c r="IH15" s="13">
        <v>1061.6500000000001</v>
      </c>
      <c r="II15" s="4">
        <v>0</v>
      </c>
      <c r="IJ15" s="13">
        <v>955.47</v>
      </c>
      <c r="IK15" s="13">
        <f t="shared" si="24"/>
        <v>0</v>
      </c>
      <c r="IL15" s="20">
        <f t="shared" si="141"/>
        <v>-0.10001412895021911</v>
      </c>
      <c r="IM15" s="13">
        <v>1276.81</v>
      </c>
      <c r="IN15" s="4">
        <v>0</v>
      </c>
      <c r="IO15" s="13">
        <v>1259.17</v>
      </c>
      <c r="IP15" s="13">
        <f t="shared" si="25"/>
        <v>0</v>
      </c>
      <c r="IQ15" s="20">
        <f t="shared" si="142"/>
        <v>-1.3815681268160351E-2</v>
      </c>
      <c r="IR15" s="13">
        <v>1067.97</v>
      </c>
      <c r="IS15" s="4">
        <v>0</v>
      </c>
      <c r="IT15" s="13">
        <v>1005.84</v>
      </c>
      <c r="IU15" s="13">
        <f t="shared" si="26"/>
        <v>0</v>
      </c>
      <c r="IV15" s="20">
        <f t="shared" si="143"/>
        <v>-5.8175791454816106E-2</v>
      </c>
      <c r="IW15" s="15">
        <v>894.66</v>
      </c>
      <c r="IX15" s="4">
        <v>0</v>
      </c>
      <c r="IY15" s="13">
        <v>842.62</v>
      </c>
      <c r="IZ15" s="13">
        <f t="shared" si="27"/>
        <v>0</v>
      </c>
      <c r="JA15" s="20">
        <f t="shared" si="144"/>
        <v>-5.8167348489929105E-2</v>
      </c>
      <c r="JB15" s="13">
        <v>954.51</v>
      </c>
      <c r="JC15" s="4">
        <v>2</v>
      </c>
      <c r="JD15" s="13">
        <v>954.52</v>
      </c>
      <c r="JE15" s="13">
        <f t="shared" si="28"/>
        <v>1909.04</v>
      </c>
      <c r="JF15" s="20">
        <f t="shared" si="145"/>
        <v>1.0476579606288894E-5</v>
      </c>
      <c r="JG15" s="13">
        <v>954.51</v>
      </c>
      <c r="JH15" s="4">
        <v>0</v>
      </c>
      <c r="JI15" s="13">
        <v>859.06</v>
      </c>
      <c r="JJ15" s="13">
        <f t="shared" si="29"/>
        <v>0</v>
      </c>
      <c r="JK15" s="20">
        <f t="shared" si="146"/>
        <v>-9.9998952342039371E-2</v>
      </c>
      <c r="JL15" s="13">
        <v>954.51</v>
      </c>
      <c r="JM15" s="4">
        <v>0</v>
      </c>
      <c r="JN15" s="13">
        <v>915.9</v>
      </c>
      <c r="JO15" s="13">
        <f t="shared" si="30"/>
        <v>0</v>
      </c>
      <c r="JP15" s="20">
        <f t="shared" si="147"/>
        <v>-4.0450073859886193E-2</v>
      </c>
      <c r="JQ15" s="15">
        <v>1099.83</v>
      </c>
      <c r="JR15" s="4">
        <v>0</v>
      </c>
      <c r="JS15" s="13">
        <v>1035.8599999999999</v>
      </c>
      <c r="JT15" s="13">
        <f t="shared" si="31"/>
        <v>0</v>
      </c>
      <c r="JU15" s="20">
        <f t="shared" si="148"/>
        <v>-5.8163534364401803E-2</v>
      </c>
      <c r="JV15" s="15">
        <v>893.03</v>
      </c>
      <c r="JW15" s="4">
        <v>0</v>
      </c>
      <c r="JX15" s="13">
        <v>841.09</v>
      </c>
      <c r="JY15" s="13">
        <f t="shared" si="32"/>
        <v>0</v>
      </c>
      <c r="JZ15" s="20">
        <f t="shared" si="149"/>
        <v>-5.8161539925870254E-2</v>
      </c>
      <c r="KA15" s="13">
        <v>1024.79</v>
      </c>
      <c r="KB15" s="4">
        <v>0</v>
      </c>
      <c r="KC15" s="13">
        <v>974.32</v>
      </c>
      <c r="KD15" s="13">
        <f t="shared" si="33"/>
        <v>0</v>
      </c>
      <c r="KE15" s="20">
        <f t="shared" si="150"/>
        <v>-4.9249114452717069E-2</v>
      </c>
      <c r="KF15" s="15">
        <v>794.31</v>
      </c>
      <c r="KG15" s="4">
        <v>0</v>
      </c>
      <c r="KH15" s="13">
        <v>748.1</v>
      </c>
      <c r="KI15" s="13">
        <f t="shared" si="34"/>
        <v>0</v>
      </c>
      <c r="KJ15" s="20">
        <f t="shared" si="151"/>
        <v>-5.8176278782842927E-2</v>
      </c>
      <c r="KK15" s="15">
        <v>1321.96</v>
      </c>
      <c r="KL15" s="4">
        <v>0</v>
      </c>
      <c r="KM15" s="13">
        <v>1303.7</v>
      </c>
      <c r="KN15" s="13">
        <f t="shared" si="35"/>
        <v>0</v>
      </c>
      <c r="KO15" s="20">
        <f t="shared" si="152"/>
        <v>-1.3812823383460904E-2</v>
      </c>
      <c r="KP15" s="15">
        <v>790.67</v>
      </c>
      <c r="KQ15" s="4">
        <v>0</v>
      </c>
      <c r="KR15" s="13">
        <v>744.68</v>
      </c>
      <c r="KS15" s="13">
        <f t="shared" si="36"/>
        <v>0</v>
      </c>
      <c r="KT15" s="20">
        <f t="shared" si="153"/>
        <v>-5.8165859334488479E-2</v>
      </c>
      <c r="KU15" s="13">
        <v>1007.13</v>
      </c>
      <c r="KV15" s="4">
        <v>0</v>
      </c>
      <c r="KW15" s="13">
        <v>948.54</v>
      </c>
      <c r="KX15" s="13">
        <f t="shared" si="37"/>
        <v>0</v>
      </c>
      <c r="KY15" s="20">
        <f t="shared" si="154"/>
        <v>-5.8175210747371309E-2</v>
      </c>
      <c r="KZ15" s="15">
        <v>745.32</v>
      </c>
      <c r="LA15" s="4">
        <v>0</v>
      </c>
      <c r="LB15" s="13">
        <v>701.97</v>
      </c>
      <c r="LC15" s="13">
        <f t="shared" si="38"/>
        <v>0</v>
      </c>
      <c r="LD15" s="20">
        <f t="shared" si="155"/>
        <v>-5.8162936725165038E-2</v>
      </c>
      <c r="LE15" s="13">
        <v>746.85</v>
      </c>
      <c r="LF15" s="4">
        <v>27</v>
      </c>
      <c r="LG15" s="13">
        <v>672.26</v>
      </c>
      <c r="LH15" s="13">
        <f t="shared" si="39"/>
        <v>18151.02</v>
      </c>
      <c r="LI15" s="20">
        <f t="shared" si="156"/>
        <v>-9.9872799089509301E-2</v>
      </c>
      <c r="LJ15" s="13">
        <v>746.85</v>
      </c>
      <c r="LK15" s="4">
        <v>2</v>
      </c>
      <c r="LL15" s="13">
        <v>703.42</v>
      </c>
      <c r="LM15" s="13">
        <f t="shared" si="40"/>
        <v>1406.84</v>
      </c>
      <c r="LN15" s="20">
        <f t="shared" si="157"/>
        <v>-5.8150900448550646E-2</v>
      </c>
      <c r="LO15" s="15">
        <v>1519.72</v>
      </c>
      <c r="LP15" s="4">
        <v>0</v>
      </c>
      <c r="LQ15" s="13">
        <v>1444.86</v>
      </c>
      <c r="LR15" s="13">
        <f t="shared" si="41"/>
        <v>0</v>
      </c>
      <c r="LS15" s="20">
        <f t="shared" si="158"/>
        <v>-4.9259074039954776E-2</v>
      </c>
      <c r="LU15" s="3" t="s">
        <v>3</v>
      </c>
      <c r="LV15" s="13">
        <v>6016.25</v>
      </c>
      <c r="LW15" s="4">
        <v>0</v>
      </c>
      <c r="LX15" s="13">
        <v>5787.83</v>
      </c>
      <c r="LY15" s="13">
        <f t="shared" si="42"/>
        <v>0</v>
      </c>
      <c r="LZ15" s="12">
        <f t="shared" si="159"/>
        <v>-3.7967172241844982E-2</v>
      </c>
      <c r="MA15" s="13">
        <v>3207.87</v>
      </c>
      <c r="MB15" s="4">
        <v>0</v>
      </c>
      <c r="MC15" s="13">
        <v>2887.2</v>
      </c>
      <c r="MD15" s="13">
        <f t="shared" si="43"/>
        <v>0</v>
      </c>
      <c r="ME15" s="12">
        <f t="shared" si="160"/>
        <v>-9.996352720029178E-2</v>
      </c>
      <c r="MF15" s="13">
        <v>3917.45</v>
      </c>
      <c r="MG15" s="4">
        <v>2</v>
      </c>
      <c r="MH15" s="13">
        <v>3837.93</v>
      </c>
      <c r="MI15" s="13">
        <f t="shared" si="44"/>
        <v>7675.86</v>
      </c>
      <c r="MJ15" s="12">
        <f t="shared" si="161"/>
        <v>-2.0298918939616328E-2</v>
      </c>
      <c r="MK15" s="15">
        <v>3225.02</v>
      </c>
      <c r="ML15" s="4">
        <v>0</v>
      </c>
      <c r="MM15" s="13">
        <v>3074.23</v>
      </c>
      <c r="MN15" s="13">
        <f t="shared" si="45"/>
        <v>0</v>
      </c>
      <c r="MO15" s="12">
        <f t="shared" si="162"/>
        <v>-4.6756299185741423E-2</v>
      </c>
      <c r="MP15" s="13">
        <v>3102.77</v>
      </c>
      <c r="MQ15" s="4">
        <v>2</v>
      </c>
      <c r="MR15" s="13">
        <v>2984.96</v>
      </c>
      <c r="MS15" s="13">
        <f t="shared" si="46"/>
        <v>5969.92</v>
      </c>
      <c r="MT15" s="12">
        <f t="shared" si="163"/>
        <v>-3.7969298401106077E-2</v>
      </c>
      <c r="MU15" s="13">
        <v>2835.65</v>
      </c>
      <c r="MV15" s="4">
        <v>9</v>
      </c>
      <c r="MW15" s="13">
        <v>2835.9</v>
      </c>
      <c r="MX15" s="13">
        <f t="shared" si="47"/>
        <v>25523.100000000002</v>
      </c>
      <c r="MY15" s="12">
        <f t="shared" si="164"/>
        <v>8.8163207730085347E-5</v>
      </c>
      <c r="MZ15" s="13">
        <v>2835.65</v>
      </c>
      <c r="NA15" s="4">
        <v>0</v>
      </c>
      <c r="NB15" s="13">
        <v>2552.1999999999998</v>
      </c>
      <c r="NC15" s="13">
        <f t="shared" si="48"/>
        <v>0</v>
      </c>
      <c r="ND15" s="12">
        <f t="shared" si="165"/>
        <v>-9.9959444924444196E-2</v>
      </c>
      <c r="NE15" s="13">
        <v>2835.65</v>
      </c>
      <c r="NF15" s="4">
        <v>7</v>
      </c>
      <c r="NG15" s="13">
        <v>2703.07</v>
      </c>
      <c r="NH15" s="13">
        <f t="shared" si="49"/>
        <v>18921.490000000002</v>
      </c>
      <c r="NI15" s="12">
        <f t="shared" si="166"/>
        <v>-4.6754712323453185E-2</v>
      </c>
      <c r="NJ15" s="13">
        <v>3262.46</v>
      </c>
      <c r="NK15" s="4">
        <v>2</v>
      </c>
      <c r="NL15" s="13">
        <v>3052.28</v>
      </c>
      <c r="NM15" s="13">
        <f t="shared" si="50"/>
        <v>6104.56</v>
      </c>
      <c r="NN15" s="12">
        <f t="shared" si="167"/>
        <v>-6.4423778375826801E-2</v>
      </c>
      <c r="NO15" s="13">
        <v>2676.49</v>
      </c>
      <c r="NP15" s="4">
        <v>2</v>
      </c>
      <c r="NQ15" s="13">
        <v>2551.35</v>
      </c>
      <c r="NR15" s="13">
        <f t="shared" si="51"/>
        <v>5102.7</v>
      </c>
      <c r="NS15" s="12">
        <f t="shared" si="168"/>
        <v>-4.675526529148244E-2</v>
      </c>
      <c r="NT15" s="13">
        <v>3039.55</v>
      </c>
      <c r="NU15" s="4">
        <v>0</v>
      </c>
      <c r="NV15" s="13">
        <v>2897.45</v>
      </c>
      <c r="NW15" s="13">
        <f t="shared" si="52"/>
        <v>0</v>
      </c>
      <c r="NX15" s="12">
        <f t="shared" si="169"/>
        <v>-4.6750341333421153E-2</v>
      </c>
      <c r="NY15" s="13">
        <v>2380.0700000000002</v>
      </c>
      <c r="NZ15" s="4">
        <v>0</v>
      </c>
      <c r="OA15" s="13">
        <v>2226.73</v>
      </c>
      <c r="OB15" s="13">
        <f t="shared" si="53"/>
        <v>0</v>
      </c>
      <c r="OC15" s="12">
        <f t="shared" si="170"/>
        <v>-6.4426676526320725E-2</v>
      </c>
      <c r="OD15" s="15">
        <v>4377.3900000000003</v>
      </c>
      <c r="OE15" s="4">
        <v>0</v>
      </c>
      <c r="OF15" s="13">
        <v>4288.51</v>
      </c>
      <c r="OG15" s="13">
        <f t="shared" si="54"/>
        <v>0</v>
      </c>
      <c r="OH15" s="12">
        <f t="shared" si="171"/>
        <v>-2.0304336602404605E-2</v>
      </c>
      <c r="OI15" s="15">
        <v>2346.33</v>
      </c>
      <c r="OJ15" s="4">
        <v>0</v>
      </c>
      <c r="OK15" s="13">
        <v>2195.17</v>
      </c>
      <c r="OL15" s="13">
        <f t="shared" si="55"/>
        <v>0</v>
      </c>
      <c r="OM15" s="12">
        <f t="shared" si="172"/>
        <v>-6.442401537720599E-2</v>
      </c>
      <c r="ON15" s="13">
        <v>2982.75</v>
      </c>
      <c r="OO15" s="4">
        <v>0</v>
      </c>
      <c r="OP15" s="13">
        <v>2790.6</v>
      </c>
      <c r="OQ15" s="13">
        <f t="shared" si="56"/>
        <v>0</v>
      </c>
      <c r="OR15" s="12">
        <f t="shared" si="173"/>
        <v>-6.4420417400050334E-2</v>
      </c>
      <c r="OS15" s="13">
        <v>2211.5500000000002</v>
      </c>
      <c r="OT15" s="4">
        <v>9</v>
      </c>
      <c r="OU15" s="13">
        <v>2069.0700000000002</v>
      </c>
      <c r="OV15" s="13">
        <f t="shared" si="57"/>
        <v>18621.63</v>
      </c>
      <c r="OW15" s="12">
        <f t="shared" si="174"/>
        <v>-6.4425402997897452E-2</v>
      </c>
      <c r="OX15" s="13">
        <v>2238.4299999999998</v>
      </c>
      <c r="OY15" s="4">
        <v>1</v>
      </c>
      <c r="OZ15" s="13">
        <v>2014.68</v>
      </c>
      <c r="PA15" s="13">
        <f t="shared" si="58"/>
        <v>2014.68</v>
      </c>
      <c r="PB15" s="12">
        <f t="shared" si="175"/>
        <v>-9.9958453022877536E-2</v>
      </c>
      <c r="PC15" s="13">
        <v>2238.4299999999998</v>
      </c>
      <c r="PD15" s="4">
        <v>3</v>
      </c>
      <c r="PE15" s="13">
        <v>2133.7800000000002</v>
      </c>
      <c r="PF15" s="13">
        <f t="shared" si="59"/>
        <v>6401.34</v>
      </c>
      <c r="PG15" s="12">
        <f t="shared" si="176"/>
        <v>-4.6751517804889842E-2</v>
      </c>
      <c r="PH15" s="13">
        <v>4510.28</v>
      </c>
      <c r="PI15" s="4">
        <v>1</v>
      </c>
      <c r="PJ15" s="13">
        <v>4339.03</v>
      </c>
      <c r="PK15" s="13">
        <f t="shared" si="60"/>
        <v>4339.03</v>
      </c>
      <c r="PL15" s="12">
        <f t="shared" si="177"/>
        <v>-3.7968817900440821E-2</v>
      </c>
      <c r="PN15" s="3" t="s">
        <v>3</v>
      </c>
      <c r="PO15" s="15">
        <v>5644.87</v>
      </c>
      <c r="PP15" s="4"/>
      <c r="PQ15" s="13"/>
      <c r="PR15" s="13">
        <f t="shared" si="61"/>
        <v>0</v>
      </c>
      <c r="PS15" s="12">
        <f t="shared" si="178"/>
        <v>-1</v>
      </c>
      <c r="PT15" s="13">
        <v>3009.85</v>
      </c>
      <c r="PU15" s="4">
        <v>0</v>
      </c>
      <c r="PV15" s="13"/>
      <c r="PW15" s="13">
        <f t="shared" si="62"/>
        <v>0</v>
      </c>
      <c r="PX15" s="12">
        <f t="shared" si="179"/>
        <v>-1</v>
      </c>
      <c r="PY15" s="13">
        <v>3675.63</v>
      </c>
      <c r="PZ15" s="4">
        <v>0</v>
      </c>
      <c r="QA15" s="13"/>
      <c r="QB15" s="13">
        <f t="shared" si="63"/>
        <v>0</v>
      </c>
      <c r="QC15" s="12">
        <f t="shared" si="180"/>
        <v>-1</v>
      </c>
      <c r="QD15" s="15">
        <v>3025.94</v>
      </c>
      <c r="QE15" s="4"/>
      <c r="QF15" s="13"/>
      <c r="QG15" s="13">
        <f t="shared" si="64"/>
        <v>0</v>
      </c>
      <c r="QH15" s="12">
        <f t="shared" si="181"/>
        <v>-1</v>
      </c>
      <c r="QI15" s="15">
        <v>2911.24</v>
      </c>
      <c r="QJ15" s="4"/>
      <c r="QK15" s="13"/>
      <c r="QL15" s="13">
        <f t="shared" si="65"/>
        <v>0</v>
      </c>
      <c r="QM15" s="12">
        <f t="shared" si="182"/>
        <v>-1</v>
      </c>
      <c r="QN15" s="15">
        <v>2660.61</v>
      </c>
      <c r="QO15" s="4"/>
      <c r="QP15" s="13"/>
      <c r="QQ15" s="13">
        <f t="shared" si="66"/>
        <v>0</v>
      </c>
      <c r="QR15" s="12">
        <f t="shared" si="183"/>
        <v>-1</v>
      </c>
      <c r="QS15" s="15">
        <v>3061.07</v>
      </c>
      <c r="QT15" s="4"/>
      <c r="QU15" s="13"/>
      <c r="QV15" s="13">
        <f t="shared" si="67"/>
        <v>0</v>
      </c>
      <c r="QW15" s="12">
        <f t="shared" si="184"/>
        <v>-1</v>
      </c>
      <c r="QX15" s="15">
        <v>2511.27</v>
      </c>
      <c r="QY15" s="4"/>
      <c r="QZ15" s="13"/>
      <c r="RA15" s="13">
        <f t="shared" si="68"/>
        <v>0</v>
      </c>
      <c r="RB15" s="12">
        <f t="shared" si="185"/>
        <v>-1</v>
      </c>
      <c r="RC15" s="15">
        <v>2851.92</v>
      </c>
      <c r="RD15" s="4"/>
      <c r="RE15" s="13"/>
      <c r="RF15" s="13">
        <f t="shared" si="69"/>
        <v>0</v>
      </c>
      <c r="RG15" s="12">
        <f t="shared" si="186"/>
        <v>-1</v>
      </c>
      <c r="RH15" s="15">
        <v>2233.15</v>
      </c>
      <c r="RI15" s="4"/>
      <c r="RJ15" s="13"/>
      <c r="RK15" s="13">
        <f t="shared" si="70"/>
        <v>0</v>
      </c>
      <c r="RL15" s="12">
        <f t="shared" si="187"/>
        <v>-1</v>
      </c>
      <c r="RM15" s="15">
        <v>4107.18</v>
      </c>
      <c r="RN15" s="4"/>
      <c r="RO15" s="13"/>
      <c r="RP15" s="13">
        <f t="shared" si="71"/>
        <v>0</v>
      </c>
      <c r="RQ15" s="12">
        <f t="shared" si="188"/>
        <v>-1</v>
      </c>
      <c r="RR15" s="15">
        <v>2201.4899999999998</v>
      </c>
      <c r="RS15" s="4"/>
      <c r="RT15" s="13"/>
      <c r="RU15" s="13">
        <f t="shared" si="72"/>
        <v>0</v>
      </c>
      <c r="RV15" s="12">
        <f t="shared" si="189"/>
        <v>-1</v>
      </c>
      <c r="RW15" s="15">
        <v>2798.63</v>
      </c>
      <c r="RX15" s="4"/>
      <c r="RY15" s="13"/>
      <c r="RZ15" s="13">
        <f t="shared" si="73"/>
        <v>0</v>
      </c>
      <c r="SA15" s="12">
        <f t="shared" si="190"/>
        <v>-1</v>
      </c>
      <c r="SB15" s="15">
        <v>2075.0300000000002</v>
      </c>
      <c r="SC15" s="4"/>
      <c r="SD15" s="13"/>
      <c r="SE15" s="13">
        <f t="shared" si="74"/>
        <v>0</v>
      </c>
      <c r="SF15" s="12">
        <f t="shared" si="191"/>
        <v>-1</v>
      </c>
      <c r="SG15" s="15">
        <v>2100.25</v>
      </c>
      <c r="SH15" s="4"/>
      <c r="SI15" s="13"/>
      <c r="SJ15" s="13">
        <f t="shared" si="75"/>
        <v>0</v>
      </c>
      <c r="SK15" s="12">
        <f t="shared" si="192"/>
        <v>-1</v>
      </c>
      <c r="SL15" s="15">
        <v>4231.8599999999997</v>
      </c>
      <c r="SM15" s="4"/>
      <c r="SN15" s="13"/>
      <c r="SO15" s="13">
        <f t="shared" si="76"/>
        <v>0</v>
      </c>
      <c r="SP15" s="12">
        <f t="shared" si="193"/>
        <v>-1</v>
      </c>
    </row>
    <row r="16" spans="1:510" x14ac:dyDescent="0.25">
      <c r="A16" s="3" t="s">
        <v>4</v>
      </c>
      <c r="B16" s="13">
        <v>5139.91</v>
      </c>
      <c r="C16" s="4">
        <v>0</v>
      </c>
      <c r="D16" s="13">
        <v>4625.8999999999996</v>
      </c>
      <c r="E16" s="13">
        <f t="shared" si="77"/>
        <v>0</v>
      </c>
      <c r="F16" s="20">
        <f t="shared" si="78"/>
        <v>-0.1000036965627803</v>
      </c>
      <c r="H16" s="3" t="s">
        <v>4</v>
      </c>
      <c r="I16" s="13">
        <v>1336.66</v>
      </c>
      <c r="J16" s="4">
        <v>0</v>
      </c>
      <c r="K16" s="13">
        <v>1203.05</v>
      </c>
      <c r="L16" s="13">
        <f t="shared" si="0"/>
        <v>0</v>
      </c>
      <c r="M16" s="20">
        <f t="shared" si="79"/>
        <v>-9.9958104529199732E-2</v>
      </c>
      <c r="O16" s="3" t="s">
        <v>4</v>
      </c>
      <c r="P16" s="13">
        <v>3976.64</v>
      </c>
      <c r="Q16" s="4">
        <v>2</v>
      </c>
      <c r="R16" s="13">
        <v>3578.96</v>
      </c>
      <c r="S16" s="13">
        <f t="shared" si="1"/>
        <v>7157.92</v>
      </c>
      <c r="T16" s="20">
        <f t="shared" si="80"/>
        <v>-0.1000040234972237</v>
      </c>
      <c r="V16" s="3" t="s">
        <v>4</v>
      </c>
      <c r="W16" s="15">
        <v>5240.66</v>
      </c>
      <c r="X16" s="4">
        <v>0</v>
      </c>
      <c r="Y16" s="13">
        <v>4928.2299999999996</v>
      </c>
      <c r="Z16" s="13">
        <f t="shared" si="2"/>
        <v>0</v>
      </c>
      <c r="AA16" s="12">
        <f t="shared" si="81"/>
        <v>-5.9616536848412283E-2</v>
      </c>
      <c r="AB16" s="15">
        <v>4544.62</v>
      </c>
      <c r="AC16" s="4">
        <v>0</v>
      </c>
      <c r="AD16" s="13">
        <v>4313.09</v>
      </c>
      <c r="AE16" s="13">
        <f t="shared" si="3"/>
        <v>0</v>
      </c>
      <c r="AF16" s="12">
        <f t="shared" si="82"/>
        <v>-5.094595367709509E-2</v>
      </c>
      <c r="AG16" s="33">
        <v>4241.51</v>
      </c>
      <c r="AH16" s="4">
        <v>0</v>
      </c>
      <c r="AI16" s="13">
        <v>4029.53</v>
      </c>
      <c r="AJ16" s="13">
        <f t="shared" si="4"/>
        <v>0</v>
      </c>
      <c r="AK16" s="12">
        <f t="shared" si="83"/>
        <v>-4.997748443360972E-2</v>
      </c>
      <c r="AL16" s="15">
        <v>3812.49</v>
      </c>
      <c r="AM16" s="4">
        <v>0</v>
      </c>
      <c r="AN16" s="13">
        <v>3518.76</v>
      </c>
      <c r="AO16" s="13">
        <f t="shared" si="5"/>
        <v>0</v>
      </c>
      <c r="AP16" s="12">
        <f t="shared" si="84"/>
        <v>-7.7044136509210381E-2</v>
      </c>
      <c r="AQ16" s="15">
        <v>3763.02</v>
      </c>
      <c r="AR16" s="4">
        <v>0</v>
      </c>
      <c r="AS16" s="13">
        <v>3473.11</v>
      </c>
      <c r="AT16" s="13">
        <f t="shared" si="6"/>
        <v>0</v>
      </c>
      <c r="AU16" s="12">
        <f t="shared" si="85"/>
        <v>-7.7041844050788955E-2</v>
      </c>
      <c r="AV16" s="33">
        <v>3504.64</v>
      </c>
      <c r="AW16" s="4">
        <v>0</v>
      </c>
      <c r="AX16" s="13">
        <v>3267.77</v>
      </c>
      <c r="AY16" s="13">
        <f t="shared" si="7"/>
        <v>0</v>
      </c>
      <c r="AZ16" s="12">
        <f t="shared" si="86"/>
        <v>-6.7587541088385605E-2</v>
      </c>
      <c r="BB16" s="3" t="s">
        <v>4</v>
      </c>
      <c r="BC16" s="15">
        <v>1336.66</v>
      </c>
      <c r="BD16" s="4">
        <v>1</v>
      </c>
      <c r="BE16" s="13">
        <v>1269.8900000000001</v>
      </c>
      <c r="BF16" s="13">
        <f t="shared" si="8"/>
        <v>1269.8900000000001</v>
      </c>
      <c r="BG16" s="12">
        <f t="shared" si="87"/>
        <v>-4.9952867595349559E-2</v>
      </c>
      <c r="BH16" s="15">
        <v>1194.6600000000001</v>
      </c>
      <c r="BI16" s="4">
        <v>0</v>
      </c>
      <c r="BJ16" s="13">
        <v>1156.3399999999999</v>
      </c>
      <c r="BK16" s="13">
        <f t="shared" si="9"/>
        <v>0</v>
      </c>
      <c r="BL16" s="12">
        <f t="shared" si="88"/>
        <v>-3.2076071853079702E-2</v>
      </c>
      <c r="BM16" s="13">
        <v>1117.72</v>
      </c>
      <c r="BN16" s="4">
        <v>0</v>
      </c>
      <c r="BO16" s="13">
        <v>1061.8800000000001</v>
      </c>
      <c r="BP16" s="13">
        <f t="shared" si="10"/>
        <v>0</v>
      </c>
      <c r="BQ16" s="12">
        <f t="shared" si="89"/>
        <v>-4.9958844791181956E-2</v>
      </c>
      <c r="BR16" s="13">
        <v>994.16</v>
      </c>
      <c r="BS16" s="4">
        <v>0</v>
      </c>
      <c r="BT16" s="13">
        <v>944.5</v>
      </c>
      <c r="BU16" s="13">
        <f t="shared" si="11"/>
        <v>0</v>
      </c>
      <c r="BV16" s="12">
        <f t="shared" si="90"/>
        <v>-4.9951718033314552E-2</v>
      </c>
      <c r="BW16" s="15">
        <v>989.61</v>
      </c>
      <c r="BX16" s="4">
        <v>0</v>
      </c>
      <c r="BY16" s="13">
        <v>940.16</v>
      </c>
      <c r="BZ16" s="13">
        <f t="shared" si="12"/>
        <v>0</v>
      </c>
      <c r="CA16" s="12">
        <f t="shared" si="91"/>
        <v>-4.9969179777892392E-2</v>
      </c>
      <c r="CB16" s="15">
        <v>932.84</v>
      </c>
      <c r="CC16" s="4">
        <v>0</v>
      </c>
      <c r="CD16" s="13">
        <v>886.24</v>
      </c>
      <c r="CE16" s="13">
        <f t="shared" si="13"/>
        <v>0</v>
      </c>
      <c r="CF16" s="12">
        <f t="shared" si="92"/>
        <v>-4.9954976201706636E-2</v>
      </c>
      <c r="CH16" s="3" t="s">
        <v>4</v>
      </c>
      <c r="CI16" s="13">
        <v>4023.41</v>
      </c>
      <c r="CJ16" s="4">
        <v>3</v>
      </c>
      <c r="CK16" s="13">
        <v>3839.16</v>
      </c>
      <c r="CL16" s="13">
        <f t="shared" si="14"/>
        <v>11517.48</v>
      </c>
      <c r="CM16" s="12">
        <f t="shared" si="93"/>
        <v>-4.5794487760382419E-2</v>
      </c>
      <c r="CN16" s="15">
        <v>3537.66</v>
      </c>
      <c r="CO16" s="4">
        <v>0</v>
      </c>
      <c r="CP16" s="13">
        <v>3375.65</v>
      </c>
      <c r="CQ16" s="13">
        <f t="shared" si="15"/>
        <v>0</v>
      </c>
      <c r="CR16" s="12">
        <f t="shared" si="94"/>
        <v>-4.5795808528801496E-2</v>
      </c>
      <c r="CS16" s="13">
        <v>3339.09</v>
      </c>
      <c r="CT16" s="4">
        <v>3</v>
      </c>
      <c r="CU16" s="13">
        <v>3186.19</v>
      </c>
      <c r="CV16" s="13">
        <f t="shared" si="16"/>
        <v>9558.57</v>
      </c>
      <c r="CW16" s="12">
        <f t="shared" si="95"/>
        <v>-4.579091908274413E-2</v>
      </c>
      <c r="CX16" s="13">
        <v>2969.27</v>
      </c>
      <c r="CY16" s="4">
        <v>2</v>
      </c>
      <c r="CZ16" s="13">
        <v>2780.8</v>
      </c>
      <c r="DA16" s="13">
        <f t="shared" si="17"/>
        <v>5561.6</v>
      </c>
      <c r="DB16" s="12">
        <f t="shared" si="96"/>
        <v>-6.3473513691917449E-2</v>
      </c>
      <c r="DC16" s="15">
        <v>2927.19</v>
      </c>
      <c r="DD16" s="4">
        <v>0</v>
      </c>
      <c r="DE16" s="13">
        <v>2741.37</v>
      </c>
      <c r="DF16" s="13">
        <f t="shared" si="18"/>
        <v>0</v>
      </c>
      <c r="DG16" s="12">
        <f t="shared" si="97"/>
        <v>-6.3480676006682279E-2</v>
      </c>
      <c r="DH16" s="13">
        <v>2759.05</v>
      </c>
      <c r="DI16" s="4">
        <v>1</v>
      </c>
      <c r="DJ16" s="13">
        <v>2583.91</v>
      </c>
      <c r="DK16" s="13">
        <f t="shared" si="19"/>
        <v>2583.91</v>
      </c>
      <c r="DL16" s="12">
        <f t="shared" si="98"/>
        <v>-6.3478371178485427E-2</v>
      </c>
      <c r="DN16" s="3" t="s">
        <v>4</v>
      </c>
      <c r="DO16" s="13">
        <v>8892.19</v>
      </c>
      <c r="DP16" s="4">
        <v>4</v>
      </c>
      <c r="DQ16" s="13">
        <v>8893.23</v>
      </c>
      <c r="DR16" s="13">
        <f t="shared" si="20"/>
        <v>35572.92</v>
      </c>
      <c r="DS16" s="20">
        <f t="shared" si="99"/>
        <v>1.1695656525545495E-4</v>
      </c>
      <c r="DU16" s="3" t="s">
        <v>4</v>
      </c>
      <c r="DV16" s="13">
        <v>5904.81</v>
      </c>
      <c r="DW16" s="4">
        <v>0</v>
      </c>
      <c r="DX16" s="13">
        <v>5905.51</v>
      </c>
      <c r="DY16" s="13">
        <f t="shared" si="21"/>
        <v>0</v>
      </c>
      <c r="DZ16" s="20">
        <f t="shared" si="100"/>
        <v>1.1854742150885222E-4</v>
      </c>
      <c r="EB16" s="3" t="s">
        <v>4</v>
      </c>
      <c r="EC16" s="13">
        <v>5904.81</v>
      </c>
      <c r="ED16" s="4">
        <v>12</v>
      </c>
      <c r="EE16" s="13">
        <v>5905.51</v>
      </c>
      <c r="EF16" s="13">
        <f t="shared" si="22"/>
        <v>70866.12</v>
      </c>
      <c r="EG16" s="20">
        <f t="shared" si="101"/>
        <v>1.1854742150885222E-4</v>
      </c>
      <c r="EI16" s="3" t="s">
        <v>4</v>
      </c>
      <c r="EJ16" s="13">
        <v>8667.35</v>
      </c>
      <c r="EK16" s="4">
        <v>0</v>
      </c>
      <c r="EL16" s="13">
        <v>8331.64</v>
      </c>
      <c r="EM16" s="13">
        <f t="shared" si="102"/>
        <v>0</v>
      </c>
      <c r="EN16" s="20">
        <f t="shared" si="103"/>
        <v>-3.8732715305139553E-2</v>
      </c>
      <c r="EO16" s="13">
        <v>4459.3999999999996</v>
      </c>
      <c r="EP16" s="4">
        <v>0</v>
      </c>
      <c r="EQ16" s="13">
        <v>4013.47</v>
      </c>
      <c r="ER16" s="13">
        <f t="shared" si="104"/>
        <v>0</v>
      </c>
      <c r="ES16" s="20">
        <f t="shared" si="105"/>
        <v>-9.9997757545858157E-2</v>
      </c>
      <c r="ET16" s="13">
        <v>5823.54</v>
      </c>
      <c r="EU16" s="4">
        <v>0</v>
      </c>
      <c r="EV16" s="13">
        <v>5750.52</v>
      </c>
      <c r="EW16" s="13">
        <f t="shared" si="106"/>
        <v>0</v>
      </c>
      <c r="EX16" s="20">
        <f t="shared" si="107"/>
        <v>-1.2538765081033132E-2</v>
      </c>
      <c r="EY16" s="15">
        <v>4545.1899999999996</v>
      </c>
      <c r="EZ16" s="4">
        <v>0</v>
      </c>
      <c r="FA16" s="13">
        <v>4290.03</v>
      </c>
      <c r="FB16" s="13">
        <f t="shared" si="108"/>
        <v>0</v>
      </c>
      <c r="FC16" s="20">
        <f t="shared" si="109"/>
        <v>-5.6138467258794456E-2</v>
      </c>
      <c r="FD16" s="15">
        <v>4107.3999999999996</v>
      </c>
      <c r="FE16" s="4">
        <v>0</v>
      </c>
      <c r="FF16" s="13">
        <v>3912.57</v>
      </c>
      <c r="FG16" s="13">
        <f t="shared" si="110"/>
        <v>0</v>
      </c>
      <c r="FH16" s="20">
        <f t="shared" si="111"/>
        <v>-4.7433899790621625E-2</v>
      </c>
      <c r="FI16" s="13">
        <v>3941.53</v>
      </c>
      <c r="FJ16" s="4">
        <v>0</v>
      </c>
      <c r="FK16" s="13">
        <v>3941.67</v>
      </c>
      <c r="FL16" s="13">
        <f t="shared" si="112"/>
        <v>0</v>
      </c>
      <c r="FM16" s="20">
        <f t="shared" si="113"/>
        <v>3.5519201934341993E-5</v>
      </c>
      <c r="FN16" s="13">
        <v>3941.53</v>
      </c>
      <c r="FO16" s="4">
        <v>0</v>
      </c>
      <c r="FP16" s="13">
        <v>3547.7</v>
      </c>
      <c r="FQ16" s="13">
        <f t="shared" si="114"/>
        <v>0</v>
      </c>
      <c r="FR16" s="20">
        <f t="shared" si="115"/>
        <v>-9.9918052126966028E-2</v>
      </c>
      <c r="FS16" s="13">
        <v>3941.53</v>
      </c>
      <c r="FT16" s="4">
        <v>0</v>
      </c>
      <c r="FU16" s="13">
        <v>3754.55</v>
      </c>
      <c r="FV16" s="13">
        <f t="shared" si="116"/>
        <v>0</v>
      </c>
      <c r="FW16" s="20">
        <f t="shared" si="117"/>
        <v>-4.7438431269075765E-2</v>
      </c>
      <c r="FX16" s="15">
        <v>4505.21</v>
      </c>
      <c r="FY16" s="4">
        <v>0</v>
      </c>
      <c r="FZ16" s="13">
        <v>4173.5</v>
      </c>
      <c r="GA16" s="13">
        <f t="shared" si="118"/>
        <v>0</v>
      </c>
      <c r="GB16" s="20">
        <f t="shared" si="119"/>
        <v>-7.3628088368799638E-2</v>
      </c>
      <c r="GC16" s="13">
        <v>3716.34</v>
      </c>
      <c r="GD16" s="4">
        <v>0</v>
      </c>
      <c r="GE16" s="13">
        <v>3507.71</v>
      </c>
      <c r="GF16" s="13">
        <f t="shared" si="120"/>
        <v>0</v>
      </c>
      <c r="GG16" s="20">
        <f t="shared" si="121"/>
        <v>-5.6138566439023374E-2</v>
      </c>
      <c r="GH16" s="15">
        <v>4198.4399999999996</v>
      </c>
      <c r="GI16" s="4">
        <v>1</v>
      </c>
      <c r="GJ16" s="13">
        <v>3962.76</v>
      </c>
      <c r="GK16" s="13">
        <f t="shared" si="122"/>
        <v>3962.76</v>
      </c>
      <c r="GL16" s="20">
        <f t="shared" si="123"/>
        <v>-5.6135135907622646E-2</v>
      </c>
      <c r="GM16" s="15">
        <v>3306.55</v>
      </c>
      <c r="GN16" s="4">
        <v>0</v>
      </c>
      <c r="GO16" s="13">
        <v>3063.08</v>
      </c>
      <c r="GP16" s="13">
        <f t="shared" si="124"/>
        <v>0</v>
      </c>
      <c r="GQ16" s="20">
        <f t="shared" si="125"/>
        <v>-7.3632638248325333E-2</v>
      </c>
      <c r="GR16" s="13">
        <v>7187.83</v>
      </c>
      <c r="GS16" s="4">
        <v>0</v>
      </c>
      <c r="GT16" s="13">
        <v>6972.6</v>
      </c>
      <c r="GU16" s="13">
        <f t="shared" si="126"/>
        <v>0</v>
      </c>
      <c r="GV16" s="20">
        <f t="shared" si="127"/>
        <v>-2.9943668673299118E-2</v>
      </c>
      <c r="GW16" s="15">
        <v>3263.64</v>
      </c>
      <c r="GX16" s="4">
        <v>0</v>
      </c>
      <c r="GY16" s="13">
        <v>3023.34</v>
      </c>
      <c r="GZ16" s="13">
        <f t="shared" si="128"/>
        <v>0</v>
      </c>
      <c r="HA16" s="20">
        <f t="shared" si="129"/>
        <v>-7.362944442401731E-2</v>
      </c>
      <c r="HB16" s="15">
        <v>4332.37</v>
      </c>
      <c r="HC16" s="4">
        <v>0</v>
      </c>
      <c r="HD16" s="13">
        <v>4013.38</v>
      </c>
      <c r="HE16" s="13">
        <f t="shared" si="130"/>
        <v>0</v>
      </c>
      <c r="HF16" s="20">
        <f t="shared" si="131"/>
        <v>-7.362944531515081E-2</v>
      </c>
      <c r="HG16" s="15">
        <v>3070.7</v>
      </c>
      <c r="HH16" s="4">
        <v>0</v>
      </c>
      <c r="HI16" s="13">
        <v>2844.6</v>
      </c>
      <c r="HJ16" s="13">
        <f t="shared" si="132"/>
        <v>0</v>
      </c>
      <c r="HK16" s="20">
        <f t="shared" si="133"/>
        <v>-7.3631419546031807E-2</v>
      </c>
      <c r="HL16" s="13">
        <v>3106.32</v>
      </c>
      <c r="HM16" s="4">
        <v>0</v>
      </c>
      <c r="HN16" s="13">
        <v>2795.82</v>
      </c>
      <c r="HO16" s="13">
        <f t="shared" si="134"/>
        <v>0</v>
      </c>
      <c r="HP16" s="20">
        <f t="shared" si="135"/>
        <v>-9.9957505987792628E-2</v>
      </c>
      <c r="HQ16" s="13">
        <v>3106.32</v>
      </c>
      <c r="HR16" s="4">
        <v>0</v>
      </c>
      <c r="HS16" s="13">
        <v>2877.6</v>
      </c>
      <c r="HT16" s="13">
        <f t="shared" si="136"/>
        <v>0</v>
      </c>
      <c r="HU16" s="20">
        <f t="shared" si="137"/>
        <v>-7.3630533879317062E-2</v>
      </c>
      <c r="HV16" s="13">
        <v>7808.81</v>
      </c>
      <c r="HW16" s="4">
        <v>0</v>
      </c>
      <c r="HX16" s="13">
        <v>7710.89</v>
      </c>
      <c r="HY16" s="13">
        <f t="shared" si="138"/>
        <v>0</v>
      </c>
      <c r="HZ16" s="20">
        <f t="shared" si="139"/>
        <v>-1.253968274295314E-2</v>
      </c>
      <c r="IB16" s="3" t="s">
        <v>4</v>
      </c>
      <c r="IC16" s="15">
        <v>2185.3200000000002</v>
      </c>
      <c r="ID16" s="4">
        <v>0</v>
      </c>
      <c r="IE16" s="13">
        <v>2096.9299999999998</v>
      </c>
      <c r="IF16" s="13">
        <f t="shared" si="23"/>
        <v>0</v>
      </c>
      <c r="IG16" s="20">
        <f t="shared" si="140"/>
        <v>-4.0447165632493287E-2</v>
      </c>
      <c r="IH16" s="13">
        <v>1156.24</v>
      </c>
      <c r="II16" s="4">
        <v>0</v>
      </c>
      <c r="IJ16" s="13">
        <v>1040.6099999999999</v>
      </c>
      <c r="IK16" s="13">
        <f t="shared" si="24"/>
        <v>0</v>
      </c>
      <c r="IL16" s="20">
        <f t="shared" si="141"/>
        <v>-0.10000518923406909</v>
      </c>
      <c r="IM16" s="13">
        <v>1390.58</v>
      </c>
      <c r="IN16" s="4">
        <v>0</v>
      </c>
      <c r="IO16" s="13">
        <v>1371.37</v>
      </c>
      <c r="IP16" s="13">
        <f t="shared" si="25"/>
        <v>0</v>
      </c>
      <c r="IQ16" s="20">
        <f t="shared" si="142"/>
        <v>-1.3814379611385208E-2</v>
      </c>
      <c r="IR16" s="13">
        <v>1163.1300000000001</v>
      </c>
      <c r="IS16" s="4">
        <v>1</v>
      </c>
      <c r="IT16" s="13">
        <v>1095.47</v>
      </c>
      <c r="IU16" s="13">
        <f t="shared" si="26"/>
        <v>1095.47</v>
      </c>
      <c r="IV16" s="20">
        <f t="shared" si="143"/>
        <v>-5.8170625811388321E-2</v>
      </c>
      <c r="IW16" s="15">
        <v>974.38</v>
      </c>
      <c r="IX16" s="4">
        <v>0</v>
      </c>
      <c r="IY16" s="13">
        <v>917.7</v>
      </c>
      <c r="IZ16" s="13">
        <f t="shared" si="27"/>
        <v>0</v>
      </c>
      <c r="JA16" s="20">
        <f t="shared" si="144"/>
        <v>-5.8170323693015002E-2</v>
      </c>
      <c r="JB16" s="13">
        <v>1039.56</v>
      </c>
      <c r="JC16" s="4">
        <v>6</v>
      </c>
      <c r="JD16" s="13">
        <v>1039.57</v>
      </c>
      <c r="JE16" s="13">
        <f t="shared" si="28"/>
        <v>6237.42</v>
      </c>
      <c r="JF16" s="20">
        <f t="shared" si="145"/>
        <v>9.6194543846017666E-6</v>
      </c>
      <c r="JG16" s="13">
        <v>1039.56</v>
      </c>
      <c r="JH16" s="4">
        <v>0</v>
      </c>
      <c r="JI16" s="13">
        <v>935.6</v>
      </c>
      <c r="JJ16" s="13">
        <f t="shared" si="29"/>
        <v>0</v>
      </c>
      <c r="JK16" s="20">
        <f t="shared" si="146"/>
        <v>-0.10000384778175375</v>
      </c>
      <c r="JL16" s="13">
        <v>1039.56</v>
      </c>
      <c r="JM16" s="4">
        <v>0</v>
      </c>
      <c r="JN16" s="13">
        <v>997.51</v>
      </c>
      <c r="JO16" s="13">
        <f t="shared" si="30"/>
        <v>0</v>
      </c>
      <c r="JP16" s="20">
        <f t="shared" si="147"/>
        <v>-4.044980568702139E-2</v>
      </c>
      <c r="JQ16" s="15">
        <v>1197.8399999999999</v>
      </c>
      <c r="JR16" s="4">
        <v>1</v>
      </c>
      <c r="JS16" s="13">
        <v>1128.1600000000001</v>
      </c>
      <c r="JT16" s="13">
        <f t="shared" si="31"/>
        <v>1128.1600000000001</v>
      </c>
      <c r="JU16" s="20">
        <f t="shared" si="148"/>
        <v>-5.8171375141921944E-2</v>
      </c>
      <c r="JV16" s="15">
        <v>972.61</v>
      </c>
      <c r="JW16" s="4">
        <v>0</v>
      </c>
      <c r="JX16" s="13">
        <v>916.04</v>
      </c>
      <c r="JY16" s="13">
        <f t="shared" si="32"/>
        <v>0</v>
      </c>
      <c r="JZ16" s="20">
        <f t="shared" si="149"/>
        <v>-5.8163086951604548E-2</v>
      </c>
      <c r="KA16" s="13">
        <v>1116.1099999999999</v>
      </c>
      <c r="KB16" s="4">
        <v>0</v>
      </c>
      <c r="KC16" s="13">
        <v>1061.1400000000001</v>
      </c>
      <c r="KD16" s="13">
        <f t="shared" si="33"/>
        <v>0</v>
      </c>
      <c r="KE16" s="20">
        <f t="shared" si="150"/>
        <v>-4.9251417870998182E-2</v>
      </c>
      <c r="KF16" s="15">
        <v>865.09</v>
      </c>
      <c r="KG16" s="4">
        <v>1</v>
      </c>
      <c r="KH16" s="13">
        <v>814.77</v>
      </c>
      <c r="KI16" s="13">
        <f t="shared" si="34"/>
        <v>814.77</v>
      </c>
      <c r="KJ16" s="20">
        <f t="shared" si="151"/>
        <v>-5.8167358309540118E-2</v>
      </c>
      <c r="KK16" s="15">
        <v>1439.76</v>
      </c>
      <c r="KL16" s="4">
        <v>0</v>
      </c>
      <c r="KM16" s="13">
        <v>1419.87</v>
      </c>
      <c r="KN16" s="13">
        <f t="shared" si="35"/>
        <v>0</v>
      </c>
      <c r="KO16" s="20">
        <f t="shared" si="152"/>
        <v>-1.3814802467077891E-2</v>
      </c>
      <c r="KP16" s="15">
        <v>861.13</v>
      </c>
      <c r="KQ16" s="4">
        <v>0</v>
      </c>
      <c r="KR16" s="13">
        <v>811.03</v>
      </c>
      <c r="KS16" s="13">
        <f t="shared" si="36"/>
        <v>0</v>
      </c>
      <c r="KT16" s="20">
        <f t="shared" si="153"/>
        <v>-5.81793689686807E-2</v>
      </c>
      <c r="KU16" s="13">
        <v>1096.8699999999999</v>
      </c>
      <c r="KV16" s="4">
        <v>0</v>
      </c>
      <c r="KW16" s="13">
        <v>1033.07</v>
      </c>
      <c r="KX16" s="13">
        <f t="shared" si="37"/>
        <v>0</v>
      </c>
      <c r="KY16" s="20">
        <f t="shared" si="154"/>
        <v>-5.816550730715575E-2</v>
      </c>
      <c r="KZ16" s="15">
        <v>811.73</v>
      </c>
      <c r="LA16" s="4">
        <v>0</v>
      </c>
      <c r="LB16" s="13">
        <v>764.51</v>
      </c>
      <c r="LC16" s="13">
        <f t="shared" si="38"/>
        <v>0</v>
      </c>
      <c r="LD16" s="20">
        <f t="shared" si="155"/>
        <v>-5.8172052283394726E-2</v>
      </c>
      <c r="LE16" s="13">
        <v>813.41</v>
      </c>
      <c r="LF16" s="4">
        <v>7</v>
      </c>
      <c r="LG16" s="13">
        <v>732.17</v>
      </c>
      <c r="LH16" s="13">
        <f t="shared" si="39"/>
        <v>5125.1899999999996</v>
      </c>
      <c r="LI16" s="20">
        <f t="shared" si="156"/>
        <v>-9.9875831376550539E-2</v>
      </c>
      <c r="LJ16" s="13">
        <v>813.41</v>
      </c>
      <c r="LK16" s="4">
        <v>1</v>
      </c>
      <c r="LL16" s="13">
        <v>766.1</v>
      </c>
      <c r="LM16" s="13">
        <f t="shared" si="40"/>
        <v>766.1</v>
      </c>
      <c r="LN16" s="20">
        <f t="shared" si="157"/>
        <v>-5.8162550251410705E-2</v>
      </c>
      <c r="LO16" s="15">
        <v>1655.15</v>
      </c>
      <c r="LP16" s="4">
        <v>0</v>
      </c>
      <c r="LQ16" s="13">
        <v>1573.61</v>
      </c>
      <c r="LR16" s="13">
        <f t="shared" si="41"/>
        <v>0</v>
      </c>
      <c r="LS16" s="20">
        <f t="shared" si="158"/>
        <v>-4.9264417122315329E-2</v>
      </c>
      <c r="LU16" s="3" t="s">
        <v>4</v>
      </c>
      <c r="LV16" s="13">
        <v>6552.35</v>
      </c>
      <c r="LW16" s="4">
        <v>0</v>
      </c>
      <c r="LX16" s="13">
        <v>6303.57</v>
      </c>
      <c r="LY16" s="13">
        <f t="shared" si="42"/>
        <v>0</v>
      </c>
      <c r="LZ16" s="12">
        <f t="shared" si="159"/>
        <v>-3.7968057261898447E-2</v>
      </c>
      <c r="MA16" s="13">
        <v>3493.71</v>
      </c>
      <c r="MB16" s="4">
        <v>0</v>
      </c>
      <c r="MC16" s="13">
        <v>3144.47</v>
      </c>
      <c r="MD16" s="13">
        <f t="shared" si="43"/>
        <v>0</v>
      </c>
      <c r="ME16" s="12">
        <f t="shared" si="160"/>
        <v>-9.9962504042980127E-2</v>
      </c>
      <c r="MF16" s="13">
        <v>4266.53</v>
      </c>
      <c r="MG16" s="4">
        <v>3</v>
      </c>
      <c r="MH16" s="13">
        <v>4179.92</v>
      </c>
      <c r="MI16" s="13">
        <f t="shared" si="44"/>
        <v>12539.76</v>
      </c>
      <c r="MJ16" s="12">
        <f t="shared" si="161"/>
        <v>-2.0299868980178215E-2</v>
      </c>
      <c r="MK16" s="15">
        <v>3512.4</v>
      </c>
      <c r="ML16" s="4">
        <v>0</v>
      </c>
      <c r="MM16" s="13">
        <v>3348.16</v>
      </c>
      <c r="MN16" s="13">
        <f t="shared" si="45"/>
        <v>0</v>
      </c>
      <c r="MO16" s="12">
        <f t="shared" si="162"/>
        <v>-4.6760050108188178E-2</v>
      </c>
      <c r="MP16" s="13">
        <v>3379.26</v>
      </c>
      <c r="MQ16" s="4">
        <v>3</v>
      </c>
      <c r="MR16" s="13">
        <v>3250.94</v>
      </c>
      <c r="MS16" s="13">
        <f t="shared" si="46"/>
        <v>9752.82</v>
      </c>
      <c r="MT16" s="12">
        <f t="shared" si="163"/>
        <v>-3.7972810615341857E-2</v>
      </c>
      <c r="MU16" s="13">
        <v>3088.33</v>
      </c>
      <c r="MV16" s="4">
        <v>8</v>
      </c>
      <c r="MW16" s="13">
        <v>3088.59</v>
      </c>
      <c r="MX16" s="13">
        <f t="shared" si="47"/>
        <v>24708.720000000001</v>
      </c>
      <c r="MY16" s="12">
        <f t="shared" si="164"/>
        <v>8.4187894428433552E-5</v>
      </c>
      <c r="MZ16" s="13">
        <v>3088.33</v>
      </c>
      <c r="NA16" s="4">
        <v>0</v>
      </c>
      <c r="NB16" s="13">
        <v>2779.62</v>
      </c>
      <c r="NC16" s="13">
        <f t="shared" si="48"/>
        <v>0</v>
      </c>
      <c r="ND16" s="12">
        <f t="shared" si="165"/>
        <v>-9.9960172649943502E-2</v>
      </c>
      <c r="NE16" s="13">
        <v>3088.33</v>
      </c>
      <c r="NF16" s="4">
        <v>5</v>
      </c>
      <c r="NG16" s="13">
        <v>2943.93</v>
      </c>
      <c r="NH16" s="13">
        <f t="shared" si="49"/>
        <v>14719.65</v>
      </c>
      <c r="NI16" s="12">
        <f t="shared" si="166"/>
        <v>-4.6756661367146624E-2</v>
      </c>
      <c r="NJ16" s="13">
        <v>3553.18</v>
      </c>
      <c r="NK16" s="4">
        <v>4</v>
      </c>
      <c r="NL16" s="13">
        <v>3324.28</v>
      </c>
      <c r="NM16" s="13">
        <f t="shared" si="50"/>
        <v>13297.12</v>
      </c>
      <c r="NN16" s="12">
        <f t="shared" si="167"/>
        <v>-6.4421166391795404E-2</v>
      </c>
      <c r="NO16" s="13">
        <v>2914.99</v>
      </c>
      <c r="NP16" s="4">
        <v>1</v>
      </c>
      <c r="NQ16" s="13">
        <v>2778.7</v>
      </c>
      <c r="NR16" s="13">
        <f t="shared" si="51"/>
        <v>2778.7</v>
      </c>
      <c r="NS16" s="12">
        <f t="shared" si="168"/>
        <v>-4.6754877375222548E-2</v>
      </c>
      <c r="NT16" s="13">
        <v>3310.41</v>
      </c>
      <c r="NU16" s="4">
        <v>2</v>
      </c>
      <c r="NV16" s="13">
        <v>3155.63</v>
      </c>
      <c r="NW16" s="13">
        <f t="shared" si="52"/>
        <v>6311.26</v>
      </c>
      <c r="NX16" s="12">
        <f t="shared" si="169"/>
        <v>-4.6755537833682137E-2</v>
      </c>
      <c r="NY16" s="13">
        <v>2592.15</v>
      </c>
      <c r="NZ16" s="4">
        <v>0</v>
      </c>
      <c r="OA16" s="13">
        <v>2425.16</v>
      </c>
      <c r="OB16" s="13">
        <f t="shared" si="53"/>
        <v>0</v>
      </c>
      <c r="OC16" s="12">
        <f t="shared" si="170"/>
        <v>-6.4421426229192114E-2</v>
      </c>
      <c r="OD16" s="15">
        <v>4767.45</v>
      </c>
      <c r="OE16" s="4">
        <v>0</v>
      </c>
      <c r="OF16" s="13">
        <v>4670.66</v>
      </c>
      <c r="OG16" s="13">
        <f t="shared" si="54"/>
        <v>0</v>
      </c>
      <c r="OH16" s="12">
        <f t="shared" si="171"/>
        <v>-2.0302258020535091E-2</v>
      </c>
      <c r="OI16" s="15">
        <v>2555.41</v>
      </c>
      <c r="OJ16" s="4">
        <v>0</v>
      </c>
      <c r="OK16" s="13">
        <v>2390.7800000000002</v>
      </c>
      <c r="OL16" s="13">
        <f t="shared" si="55"/>
        <v>0</v>
      </c>
      <c r="OM16" s="12">
        <f t="shared" si="172"/>
        <v>-6.4424104155497375E-2</v>
      </c>
      <c r="ON16" s="13">
        <v>3248.55</v>
      </c>
      <c r="OO16" s="4">
        <v>0</v>
      </c>
      <c r="OP16" s="13">
        <v>3039.27</v>
      </c>
      <c r="OQ16" s="13">
        <f t="shared" si="56"/>
        <v>0</v>
      </c>
      <c r="OR16" s="12">
        <f t="shared" si="173"/>
        <v>-6.4422588539502335E-2</v>
      </c>
      <c r="OS16" s="13">
        <v>2408.61</v>
      </c>
      <c r="OT16" s="4">
        <v>4</v>
      </c>
      <c r="OU16" s="13">
        <v>2253.4499999999998</v>
      </c>
      <c r="OV16" s="13">
        <f t="shared" si="57"/>
        <v>9013.7999999999993</v>
      </c>
      <c r="OW16" s="12">
        <f t="shared" si="174"/>
        <v>-6.4418897206272585E-2</v>
      </c>
      <c r="OX16" s="13">
        <v>2437.9</v>
      </c>
      <c r="OY16" s="4">
        <v>0</v>
      </c>
      <c r="OZ16" s="13">
        <v>2194.21</v>
      </c>
      <c r="PA16" s="13">
        <f t="shared" si="58"/>
        <v>0</v>
      </c>
      <c r="PB16" s="12">
        <f t="shared" si="175"/>
        <v>-9.9958981090282673E-2</v>
      </c>
      <c r="PC16" s="13">
        <v>2437.9</v>
      </c>
      <c r="PD16" s="4">
        <v>4</v>
      </c>
      <c r="PE16" s="13">
        <v>2323.92</v>
      </c>
      <c r="PF16" s="13">
        <f t="shared" si="59"/>
        <v>9295.68</v>
      </c>
      <c r="PG16" s="12">
        <f t="shared" si="176"/>
        <v>-4.6753353295869382E-2</v>
      </c>
      <c r="PH16" s="13">
        <v>4912.18</v>
      </c>
      <c r="PI16" s="4">
        <v>0</v>
      </c>
      <c r="PJ16" s="13">
        <v>4725.68</v>
      </c>
      <c r="PK16" s="13">
        <f t="shared" si="60"/>
        <v>0</v>
      </c>
      <c r="PL16" s="12">
        <f t="shared" si="177"/>
        <v>-3.7966849748991227E-2</v>
      </c>
      <c r="PN16" s="3" t="s">
        <v>4</v>
      </c>
      <c r="PO16" s="15">
        <v>6147.88</v>
      </c>
      <c r="PP16" s="4"/>
      <c r="PQ16" s="13"/>
      <c r="PR16" s="13">
        <f t="shared" si="61"/>
        <v>0</v>
      </c>
      <c r="PS16" s="12">
        <f t="shared" si="178"/>
        <v>-1</v>
      </c>
      <c r="PT16" s="13">
        <v>3278.05</v>
      </c>
      <c r="PU16" s="4">
        <v>0</v>
      </c>
      <c r="PV16" s="13"/>
      <c r="PW16" s="13">
        <f t="shared" si="62"/>
        <v>0</v>
      </c>
      <c r="PX16" s="12">
        <f t="shared" si="179"/>
        <v>-1</v>
      </c>
      <c r="PY16" s="13">
        <v>4003.16</v>
      </c>
      <c r="PZ16" s="4">
        <v>2</v>
      </c>
      <c r="QA16" s="13"/>
      <c r="QB16" s="13">
        <f t="shared" si="63"/>
        <v>0</v>
      </c>
      <c r="QC16" s="12">
        <f t="shared" si="180"/>
        <v>-1</v>
      </c>
      <c r="QD16" s="15">
        <v>3295.58</v>
      </c>
      <c r="QE16" s="4"/>
      <c r="QF16" s="13"/>
      <c r="QG16" s="13">
        <f t="shared" si="64"/>
        <v>0</v>
      </c>
      <c r="QH16" s="12">
        <f t="shared" si="181"/>
        <v>-1</v>
      </c>
      <c r="QI16" s="15">
        <v>3170.66</v>
      </c>
      <c r="QJ16" s="4"/>
      <c r="QK16" s="13"/>
      <c r="QL16" s="13">
        <f t="shared" si="65"/>
        <v>0</v>
      </c>
      <c r="QM16" s="12">
        <f t="shared" si="182"/>
        <v>-1</v>
      </c>
      <c r="QN16" s="15">
        <v>2897.69</v>
      </c>
      <c r="QO16" s="4"/>
      <c r="QP16" s="13"/>
      <c r="QQ16" s="13">
        <f t="shared" si="66"/>
        <v>0</v>
      </c>
      <c r="QR16" s="12">
        <f t="shared" si="183"/>
        <v>-1</v>
      </c>
      <c r="QS16" s="15">
        <v>3333.84</v>
      </c>
      <c r="QT16" s="4"/>
      <c r="QU16" s="13"/>
      <c r="QV16" s="13">
        <f t="shared" si="67"/>
        <v>0</v>
      </c>
      <c r="QW16" s="12">
        <f t="shared" si="184"/>
        <v>-1</v>
      </c>
      <c r="QX16" s="15">
        <v>2735.05</v>
      </c>
      <c r="QY16" s="4"/>
      <c r="QZ16" s="13"/>
      <c r="RA16" s="13">
        <f t="shared" si="68"/>
        <v>0</v>
      </c>
      <c r="RB16" s="12">
        <f t="shared" si="185"/>
        <v>-1</v>
      </c>
      <c r="RC16" s="15">
        <v>3106.06</v>
      </c>
      <c r="RD16" s="4"/>
      <c r="RE16" s="13"/>
      <c r="RF16" s="13">
        <f t="shared" si="69"/>
        <v>0</v>
      </c>
      <c r="RG16" s="12">
        <f t="shared" si="186"/>
        <v>-1</v>
      </c>
      <c r="RH16" s="15">
        <v>2432.13</v>
      </c>
      <c r="RI16" s="4"/>
      <c r="RJ16" s="13"/>
      <c r="RK16" s="13">
        <f t="shared" si="70"/>
        <v>0</v>
      </c>
      <c r="RL16" s="12">
        <f t="shared" si="187"/>
        <v>-1</v>
      </c>
      <c r="RM16" s="15">
        <v>4473.1499999999996</v>
      </c>
      <c r="RN16" s="4"/>
      <c r="RO16" s="13"/>
      <c r="RP16" s="13">
        <f t="shared" si="71"/>
        <v>0</v>
      </c>
      <c r="RQ16" s="12">
        <f t="shared" si="188"/>
        <v>-1</v>
      </c>
      <c r="RR16" s="15">
        <v>2397.66</v>
      </c>
      <c r="RS16" s="4"/>
      <c r="RT16" s="13"/>
      <c r="RU16" s="13">
        <f t="shared" si="72"/>
        <v>0</v>
      </c>
      <c r="RV16" s="12">
        <f t="shared" si="189"/>
        <v>-1</v>
      </c>
      <c r="RW16" s="15">
        <v>3048.01</v>
      </c>
      <c r="RX16" s="4"/>
      <c r="RY16" s="13"/>
      <c r="RZ16" s="13">
        <f t="shared" si="73"/>
        <v>0</v>
      </c>
      <c r="SA16" s="12">
        <f t="shared" si="190"/>
        <v>-1</v>
      </c>
      <c r="SB16" s="15">
        <v>2259.9299999999998</v>
      </c>
      <c r="SC16" s="4"/>
      <c r="SD16" s="13"/>
      <c r="SE16" s="13">
        <f t="shared" si="74"/>
        <v>0</v>
      </c>
      <c r="SF16" s="12">
        <f t="shared" si="191"/>
        <v>-1</v>
      </c>
      <c r="SG16" s="15">
        <v>2287.41</v>
      </c>
      <c r="SH16" s="4"/>
      <c r="SI16" s="13"/>
      <c r="SJ16" s="13">
        <f t="shared" si="75"/>
        <v>0</v>
      </c>
      <c r="SK16" s="12">
        <f t="shared" si="192"/>
        <v>-1</v>
      </c>
      <c r="SL16" s="15">
        <v>4608.95</v>
      </c>
      <c r="SM16" s="4"/>
      <c r="SN16" s="13"/>
      <c r="SO16" s="13">
        <f t="shared" si="76"/>
        <v>0</v>
      </c>
      <c r="SP16" s="12">
        <f t="shared" si="193"/>
        <v>-1</v>
      </c>
    </row>
    <row r="17" spans="1:510" x14ac:dyDescent="0.25">
      <c r="A17" s="3" t="s">
        <v>5</v>
      </c>
      <c r="B17" s="13">
        <v>5634.99</v>
      </c>
      <c r="C17" s="4">
        <v>0</v>
      </c>
      <c r="D17" s="13">
        <v>5071.4799999999996</v>
      </c>
      <c r="E17" s="13">
        <f t="shared" si="77"/>
        <v>0</v>
      </c>
      <c r="F17" s="20">
        <f t="shared" si="78"/>
        <v>-0.10000195208864615</v>
      </c>
      <c r="H17" s="3" t="s">
        <v>5</v>
      </c>
      <c r="I17" s="13">
        <v>1570.09</v>
      </c>
      <c r="J17" s="4">
        <v>0</v>
      </c>
      <c r="K17" s="13">
        <v>1413.13</v>
      </c>
      <c r="L17" s="13">
        <f t="shared" si="0"/>
        <v>0</v>
      </c>
      <c r="M17" s="20">
        <f t="shared" si="79"/>
        <v>-9.9968791597933815E-2</v>
      </c>
      <c r="O17" s="3" t="s">
        <v>5</v>
      </c>
      <c r="P17" s="13">
        <v>4671.08</v>
      </c>
      <c r="Q17" s="4">
        <v>0</v>
      </c>
      <c r="R17" s="13">
        <v>4203.95</v>
      </c>
      <c r="S17" s="13">
        <f t="shared" si="1"/>
        <v>0</v>
      </c>
      <c r="T17" s="20">
        <f t="shared" si="80"/>
        <v>-0.10000470983155929</v>
      </c>
      <c r="V17" s="3" t="s">
        <v>5</v>
      </c>
      <c r="W17" s="15">
        <v>5745.45</v>
      </c>
      <c r="X17" s="4">
        <v>0</v>
      </c>
      <c r="Y17" s="13">
        <v>5402.92</v>
      </c>
      <c r="Z17" s="13">
        <f t="shared" si="2"/>
        <v>0</v>
      </c>
      <c r="AA17" s="12">
        <f t="shared" si="81"/>
        <v>-5.9617610456970227E-2</v>
      </c>
      <c r="AB17" s="15">
        <v>4982.37</v>
      </c>
      <c r="AC17" s="4">
        <v>0</v>
      </c>
      <c r="AD17" s="13">
        <v>4728.5200000000004</v>
      </c>
      <c r="AE17" s="13">
        <f t="shared" si="3"/>
        <v>0</v>
      </c>
      <c r="AF17" s="12">
        <f t="shared" si="82"/>
        <v>-5.0949648460471564E-2</v>
      </c>
      <c r="AG17" s="33">
        <v>4650.05</v>
      </c>
      <c r="AH17" s="4">
        <v>0</v>
      </c>
      <c r="AI17" s="13">
        <v>4417.6499999999996</v>
      </c>
      <c r="AJ17" s="13">
        <f t="shared" si="4"/>
        <v>0</v>
      </c>
      <c r="AK17" s="12">
        <f t="shared" si="83"/>
        <v>-4.9977957226266523E-2</v>
      </c>
      <c r="AL17" s="15">
        <v>4179.7</v>
      </c>
      <c r="AM17" s="4">
        <v>0</v>
      </c>
      <c r="AN17" s="13">
        <v>3857.69</v>
      </c>
      <c r="AO17" s="13">
        <f t="shared" si="5"/>
        <v>0</v>
      </c>
      <c r="AP17" s="12">
        <f t="shared" si="84"/>
        <v>-7.7041414455582879E-2</v>
      </c>
      <c r="AQ17" s="15">
        <v>4125.49</v>
      </c>
      <c r="AR17" s="4">
        <v>0</v>
      </c>
      <c r="AS17" s="13">
        <v>3807.64</v>
      </c>
      <c r="AT17" s="13">
        <f t="shared" si="6"/>
        <v>0</v>
      </c>
      <c r="AU17" s="12">
        <f t="shared" si="85"/>
        <v>-7.7045393395693607E-2</v>
      </c>
      <c r="AV17" s="33">
        <v>3842.2</v>
      </c>
      <c r="AW17" s="4">
        <v>0</v>
      </c>
      <c r="AX17" s="13">
        <v>3582.53</v>
      </c>
      <c r="AY17" s="13">
        <f t="shared" si="7"/>
        <v>0</v>
      </c>
      <c r="AZ17" s="12">
        <f t="shared" si="86"/>
        <v>-6.7583676018947436E-2</v>
      </c>
      <c r="BB17" s="3" t="s">
        <v>5</v>
      </c>
      <c r="BC17" s="15">
        <v>1570.09</v>
      </c>
      <c r="BD17" s="4">
        <v>1</v>
      </c>
      <c r="BE17" s="13">
        <v>1491.65</v>
      </c>
      <c r="BF17" s="13">
        <f t="shared" si="8"/>
        <v>1491.65</v>
      </c>
      <c r="BG17" s="12">
        <f t="shared" si="87"/>
        <v>-4.9958919552382186E-2</v>
      </c>
      <c r="BH17" s="15">
        <v>1403.28</v>
      </c>
      <c r="BI17" s="4">
        <v>0</v>
      </c>
      <c r="BJ17" s="13">
        <v>1358.26</v>
      </c>
      <c r="BK17" s="13">
        <f t="shared" si="9"/>
        <v>0</v>
      </c>
      <c r="BL17" s="12">
        <f t="shared" si="88"/>
        <v>-3.2081979362636126E-2</v>
      </c>
      <c r="BM17" s="13">
        <v>1312.91</v>
      </c>
      <c r="BN17" s="4">
        <v>0</v>
      </c>
      <c r="BO17" s="13">
        <v>1247.33</v>
      </c>
      <c r="BP17" s="13">
        <f t="shared" si="10"/>
        <v>0</v>
      </c>
      <c r="BQ17" s="12">
        <f t="shared" si="89"/>
        <v>-4.9950110822524096E-2</v>
      </c>
      <c r="BR17" s="13">
        <v>1167.77</v>
      </c>
      <c r="BS17" s="4">
        <v>2</v>
      </c>
      <c r="BT17" s="13">
        <v>1109.43</v>
      </c>
      <c r="BU17" s="13">
        <f t="shared" si="11"/>
        <v>2218.86</v>
      </c>
      <c r="BV17" s="12">
        <f t="shared" si="90"/>
        <v>-4.9958467848977062E-2</v>
      </c>
      <c r="BW17" s="15">
        <v>1162.4100000000001</v>
      </c>
      <c r="BX17" s="4">
        <v>0</v>
      </c>
      <c r="BY17" s="13">
        <v>1104.3499999999999</v>
      </c>
      <c r="BZ17" s="13">
        <f t="shared" si="12"/>
        <v>0</v>
      </c>
      <c r="CA17" s="12">
        <f t="shared" si="91"/>
        <v>-4.9947952959799147E-2</v>
      </c>
      <c r="CB17" s="15">
        <v>1095.74</v>
      </c>
      <c r="CC17" s="4">
        <v>0</v>
      </c>
      <c r="CD17" s="13">
        <v>1041.01</v>
      </c>
      <c r="CE17" s="13">
        <f t="shared" si="13"/>
        <v>0</v>
      </c>
      <c r="CF17" s="12">
        <f t="shared" si="92"/>
        <v>-4.9947980360304456E-2</v>
      </c>
      <c r="CH17" s="3" t="s">
        <v>5</v>
      </c>
      <c r="CI17" s="13">
        <v>4726.0200000000004</v>
      </c>
      <c r="CJ17" s="4">
        <v>1</v>
      </c>
      <c r="CK17" s="13">
        <v>4509.6000000000004</v>
      </c>
      <c r="CL17" s="13">
        <f t="shared" si="14"/>
        <v>4509.6000000000004</v>
      </c>
      <c r="CM17" s="12">
        <f t="shared" si="93"/>
        <v>-4.5793289067756815E-2</v>
      </c>
      <c r="CN17" s="15">
        <v>4155.4399999999996</v>
      </c>
      <c r="CO17" s="4">
        <v>0</v>
      </c>
      <c r="CP17" s="13">
        <v>3965.14</v>
      </c>
      <c r="CQ17" s="13">
        <f t="shared" si="15"/>
        <v>0</v>
      </c>
      <c r="CR17" s="12">
        <f t="shared" si="94"/>
        <v>-4.5795391101784544E-2</v>
      </c>
      <c r="CS17" s="13">
        <v>3922.19</v>
      </c>
      <c r="CT17" s="4">
        <v>3</v>
      </c>
      <c r="CU17" s="13">
        <v>3742.58</v>
      </c>
      <c r="CV17" s="13">
        <f t="shared" si="16"/>
        <v>11227.74</v>
      </c>
      <c r="CW17" s="12">
        <f t="shared" si="95"/>
        <v>-4.5793294052557387E-2</v>
      </c>
      <c r="CX17" s="13">
        <v>3487.79</v>
      </c>
      <c r="CY17" s="4">
        <v>1</v>
      </c>
      <c r="CZ17" s="13">
        <v>3266.4</v>
      </c>
      <c r="DA17" s="13">
        <f t="shared" si="17"/>
        <v>3266.4</v>
      </c>
      <c r="DB17" s="12">
        <f t="shared" si="96"/>
        <v>-6.3475725316031073E-2</v>
      </c>
      <c r="DC17" s="15">
        <v>3438.36</v>
      </c>
      <c r="DD17" s="4">
        <v>0</v>
      </c>
      <c r="DE17" s="13">
        <v>3220.1</v>
      </c>
      <c r="DF17" s="13">
        <f t="shared" si="18"/>
        <v>0</v>
      </c>
      <c r="DG17" s="12">
        <f t="shared" si="97"/>
        <v>-6.3477937156086073E-2</v>
      </c>
      <c r="DH17" s="13">
        <v>3240.85</v>
      </c>
      <c r="DI17" s="4">
        <v>0</v>
      </c>
      <c r="DJ17" s="13">
        <v>3035.13</v>
      </c>
      <c r="DK17" s="13">
        <f t="shared" si="19"/>
        <v>0</v>
      </c>
      <c r="DL17" s="12">
        <f t="shared" si="98"/>
        <v>-6.3477174198126929E-2</v>
      </c>
      <c r="DN17" s="3" t="s">
        <v>5</v>
      </c>
      <c r="DO17" s="13">
        <v>9748.68</v>
      </c>
      <c r="DP17" s="4">
        <v>2</v>
      </c>
      <c r="DQ17" s="13">
        <v>9749.83</v>
      </c>
      <c r="DR17" s="13">
        <f t="shared" si="20"/>
        <v>19499.66</v>
      </c>
      <c r="DS17" s="20">
        <f t="shared" si="99"/>
        <v>1.1796468855274078E-4</v>
      </c>
      <c r="DU17" s="3" t="s">
        <v>5</v>
      </c>
      <c r="DV17" s="13">
        <v>6935.96</v>
      </c>
      <c r="DW17" s="4">
        <v>0</v>
      </c>
      <c r="DX17" s="13">
        <v>6936.78</v>
      </c>
      <c r="DY17" s="13">
        <f t="shared" si="21"/>
        <v>0</v>
      </c>
      <c r="DZ17" s="20">
        <f t="shared" si="100"/>
        <v>1.1822444189402148E-4</v>
      </c>
      <c r="EB17" s="3" t="s">
        <v>5</v>
      </c>
      <c r="EC17" s="13">
        <v>6935.96</v>
      </c>
      <c r="ED17" s="4">
        <v>2</v>
      </c>
      <c r="EE17" s="13">
        <v>6936.78</v>
      </c>
      <c r="EF17" s="13">
        <f t="shared" si="22"/>
        <v>13873.56</v>
      </c>
      <c r="EG17" s="20">
        <f t="shared" si="101"/>
        <v>1.1822444189402148E-4</v>
      </c>
      <c r="EI17" s="3" t="s">
        <v>5</v>
      </c>
      <c r="EJ17" s="13">
        <v>9502.19</v>
      </c>
      <c r="EK17" s="4">
        <v>2</v>
      </c>
      <c r="EL17" s="13">
        <v>9134.14</v>
      </c>
      <c r="EM17" s="13">
        <f t="shared" si="102"/>
        <v>18268.28</v>
      </c>
      <c r="EN17" s="20">
        <f t="shared" si="103"/>
        <v>-3.8733176246738998E-2</v>
      </c>
      <c r="EO17" s="13">
        <v>4888.95</v>
      </c>
      <c r="EP17" s="4">
        <v>0</v>
      </c>
      <c r="EQ17" s="13">
        <v>4400.04</v>
      </c>
      <c r="ER17" s="13">
        <f t="shared" si="104"/>
        <v>0</v>
      </c>
      <c r="ES17" s="20">
        <f t="shared" si="105"/>
        <v>-0.10000306814346638</v>
      </c>
      <c r="ET17" s="13">
        <v>6384.46</v>
      </c>
      <c r="EU17" s="4">
        <v>0</v>
      </c>
      <c r="EV17" s="13">
        <v>6304.41</v>
      </c>
      <c r="EW17" s="13">
        <f t="shared" si="106"/>
        <v>0</v>
      </c>
      <c r="EX17" s="20">
        <f t="shared" si="107"/>
        <v>-1.2538256955169302E-2</v>
      </c>
      <c r="EY17" s="15">
        <v>4982.9799999999996</v>
      </c>
      <c r="EZ17" s="4">
        <v>0</v>
      </c>
      <c r="FA17" s="13">
        <v>4703.25</v>
      </c>
      <c r="FB17" s="13">
        <f t="shared" si="108"/>
        <v>0</v>
      </c>
      <c r="FC17" s="20">
        <f t="shared" si="109"/>
        <v>-5.6137090656595001E-2</v>
      </c>
      <c r="FD17" s="15">
        <v>4503.03</v>
      </c>
      <c r="FE17" s="4">
        <v>0</v>
      </c>
      <c r="FF17" s="13">
        <v>4289.42</v>
      </c>
      <c r="FG17" s="13">
        <f t="shared" si="110"/>
        <v>0</v>
      </c>
      <c r="FH17" s="20">
        <f t="shared" si="111"/>
        <v>-4.7436948010561752E-2</v>
      </c>
      <c r="FI17" s="13">
        <v>4321.17</v>
      </c>
      <c r="FJ17" s="4">
        <v>1</v>
      </c>
      <c r="FK17" s="13">
        <v>4321.34</v>
      </c>
      <c r="FL17" s="13">
        <f t="shared" si="112"/>
        <v>4321.34</v>
      </c>
      <c r="FM17" s="20">
        <f t="shared" si="113"/>
        <v>3.9341196944375767E-5</v>
      </c>
      <c r="FN17" s="13">
        <v>4321.17</v>
      </c>
      <c r="FO17" s="4">
        <v>0</v>
      </c>
      <c r="FP17" s="13">
        <v>3889.42</v>
      </c>
      <c r="FQ17" s="13">
        <f t="shared" si="114"/>
        <v>0</v>
      </c>
      <c r="FR17" s="20">
        <f t="shared" si="115"/>
        <v>-9.9915069298361359E-2</v>
      </c>
      <c r="FS17" s="13">
        <v>4321.17</v>
      </c>
      <c r="FT17" s="4">
        <v>0</v>
      </c>
      <c r="FU17" s="13">
        <v>4116.1899999999996</v>
      </c>
      <c r="FV17" s="13">
        <f t="shared" si="116"/>
        <v>0</v>
      </c>
      <c r="FW17" s="20">
        <f t="shared" si="117"/>
        <v>-4.743622676265935E-2</v>
      </c>
      <c r="FX17" s="15">
        <v>4939.1499999999996</v>
      </c>
      <c r="FY17" s="4">
        <v>0</v>
      </c>
      <c r="FZ17" s="13">
        <v>4575.49</v>
      </c>
      <c r="GA17" s="13">
        <f t="shared" si="118"/>
        <v>0</v>
      </c>
      <c r="GB17" s="20">
        <f t="shared" si="119"/>
        <v>-7.3628053409999672E-2</v>
      </c>
      <c r="GC17" s="13">
        <v>4074.29</v>
      </c>
      <c r="GD17" s="4">
        <v>0</v>
      </c>
      <c r="GE17" s="13">
        <v>3845.57</v>
      </c>
      <c r="GF17" s="13">
        <f t="shared" si="120"/>
        <v>0</v>
      </c>
      <c r="GG17" s="20">
        <f t="shared" si="121"/>
        <v>-5.6137388354780771E-2</v>
      </c>
      <c r="GH17" s="15">
        <v>4602.84</v>
      </c>
      <c r="GI17" s="4">
        <v>0</v>
      </c>
      <c r="GJ17" s="13">
        <v>4344.45</v>
      </c>
      <c r="GK17" s="13">
        <f t="shared" si="122"/>
        <v>0</v>
      </c>
      <c r="GL17" s="20">
        <f t="shared" si="123"/>
        <v>-5.6137080585030197E-2</v>
      </c>
      <c r="GM17" s="15">
        <v>3625.04</v>
      </c>
      <c r="GN17" s="4">
        <v>0</v>
      </c>
      <c r="GO17" s="13">
        <v>3358.13</v>
      </c>
      <c r="GP17" s="13">
        <f t="shared" si="124"/>
        <v>0</v>
      </c>
      <c r="GQ17" s="20">
        <f t="shared" si="125"/>
        <v>-7.3629532363780781E-2</v>
      </c>
      <c r="GR17" s="13">
        <v>7880.15</v>
      </c>
      <c r="GS17" s="4">
        <v>0</v>
      </c>
      <c r="GT17" s="13">
        <v>7644.19</v>
      </c>
      <c r="GU17" s="13">
        <f t="shared" si="126"/>
        <v>0</v>
      </c>
      <c r="GV17" s="20">
        <f t="shared" si="127"/>
        <v>-2.9943592444306222E-2</v>
      </c>
      <c r="GW17" s="15">
        <v>3578</v>
      </c>
      <c r="GX17" s="4">
        <v>0</v>
      </c>
      <c r="GY17" s="13">
        <v>3314.56</v>
      </c>
      <c r="GZ17" s="13">
        <f t="shared" si="128"/>
        <v>0</v>
      </c>
      <c r="HA17" s="20">
        <f t="shared" si="129"/>
        <v>-7.3627724986025767E-2</v>
      </c>
      <c r="HB17" s="15">
        <v>4749.6499999999996</v>
      </c>
      <c r="HC17" s="4">
        <v>0</v>
      </c>
      <c r="HD17" s="13">
        <v>4399.9399999999996</v>
      </c>
      <c r="HE17" s="13">
        <f t="shared" si="130"/>
        <v>0</v>
      </c>
      <c r="HF17" s="20">
        <f t="shared" si="131"/>
        <v>-7.3628583158759087E-2</v>
      </c>
      <c r="HG17" s="15">
        <v>3366.47</v>
      </c>
      <c r="HH17" s="4">
        <v>0</v>
      </c>
      <c r="HI17" s="13">
        <v>3118.6</v>
      </c>
      <c r="HJ17" s="13">
        <f t="shared" si="132"/>
        <v>0</v>
      </c>
      <c r="HK17" s="20">
        <f t="shared" si="133"/>
        <v>-7.3629053578377346E-2</v>
      </c>
      <c r="HL17" s="13">
        <v>3405.52</v>
      </c>
      <c r="HM17" s="4">
        <v>0</v>
      </c>
      <c r="HN17" s="13">
        <v>3065.11</v>
      </c>
      <c r="HO17" s="13">
        <f t="shared" si="134"/>
        <v>0</v>
      </c>
      <c r="HP17" s="20">
        <f t="shared" si="135"/>
        <v>-9.9958302990439063E-2</v>
      </c>
      <c r="HQ17" s="13">
        <v>3405.52</v>
      </c>
      <c r="HR17" s="4">
        <v>3</v>
      </c>
      <c r="HS17" s="13">
        <v>3154.77</v>
      </c>
      <c r="HT17" s="13">
        <f t="shared" si="136"/>
        <v>9464.31</v>
      </c>
      <c r="HU17" s="20">
        <f t="shared" si="137"/>
        <v>-7.3630458784561537E-2</v>
      </c>
      <c r="HV17" s="13">
        <v>8560.9500000000007</v>
      </c>
      <c r="HW17" s="4">
        <v>0</v>
      </c>
      <c r="HX17" s="13">
        <v>8453.61</v>
      </c>
      <c r="HY17" s="13">
        <f t="shared" si="138"/>
        <v>0</v>
      </c>
      <c r="HZ17" s="20">
        <f t="shared" si="139"/>
        <v>-1.2538328106109775E-2</v>
      </c>
      <c r="IB17" s="3" t="s">
        <v>5</v>
      </c>
      <c r="IC17" s="15">
        <v>2566.9299999999998</v>
      </c>
      <c r="ID17" s="4">
        <v>0</v>
      </c>
      <c r="IE17" s="13">
        <v>2463.12</v>
      </c>
      <c r="IF17" s="13">
        <f t="shared" si="23"/>
        <v>0</v>
      </c>
      <c r="IG17" s="20">
        <f t="shared" si="140"/>
        <v>-4.0441305372565628E-2</v>
      </c>
      <c r="IH17" s="13">
        <v>1358.16</v>
      </c>
      <c r="II17" s="4">
        <v>0</v>
      </c>
      <c r="IJ17" s="13">
        <v>1222.33</v>
      </c>
      <c r="IK17" s="13">
        <f t="shared" si="24"/>
        <v>0</v>
      </c>
      <c r="IL17" s="20">
        <f t="shared" si="141"/>
        <v>-0.10001030806385125</v>
      </c>
      <c r="IM17" s="13">
        <v>1633.41</v>
      </c>
      <c r="IN17" s="4">
        <v>0</v>
      </c>
      <c r="IO17" s="13">
        <v>1610.86</v>
      </c>
      <c r="IP17" s="13">
        <f t="shared" si="25"/>
        <v>0</v>
      </c>
      <c r="IQ17" s="20">
        <f t="shared" si="142"/>
        <v>-1.3805474436914267E-2</v>
      </c>
      <c r="IR17" s="13">
        <v>1366.24</v>
      </c>
      <c r="IS17" s="4">
        <v>0</v>
      </c>
      <c r="IT17" s="13">
        <v>1286.77</v>
      </c>
      <c r="IU17" s="13">
        <f t="shared" si="26"/>
        <v>0</v>
      </c>
      <c r="IV17" s="20">
        <f t="shared" si="143"/>
        <v>-5.8166939922707606E-2</v>
      </c>
      <c r="IW17" s="15">
        <v>1144.53</v>
      </c>
      <c r="IX17" s="4">
        <v>0</v>
      </c>
      <c r="IY17" s="13">
        <v>1077.96</v>
      </c>
      <c r="IZ17" s="13">
        <f t="shared" si="27"/>
        <v>0</v>
      </c>
      <c r="JA17" s="20">
        <f t="shared" si="144"/>
        <v>-5.8163613011454451E-2</v>
      </c>
      <c r="JB17" s="13">
        <v>1221.0899999999999</v>
      </c>
      <c r="JC17" s="4">
        <v>0</v>
      </c>
      <c r="JD17" s="13">
        <v>1221.1199999999999</v>
      </c>
      <c r="JE17" s="13">
        <f t="shared" si="28"/>
        <v>0</v>
      </c>
      <c r="JF17" s="20">
        <f t="shared" si="145"/>
        <v>2.4568213645270731E-5</v>
      </c>
      <c r="JG17" s="13">
        <v>1221.0899999999999</v>
      </c>
      <c r="JH17" s="4">
        <v>0</v>
      </c>
      <c r="JI17" s="13">
        <v>1098.99</v>
      </c>
      <c r="JJ17" s="13">
        <f t="shared" si="29"/>
        <v>0</v>
      </c>
      <c r="JK17" s="20">
        <f t="shared" si="146"/>
        <v>-9.9992629535906374E-2</v>
      </c>
      <c r="JL17" s="13">
        <v>1221.0899999999999</v>
      </c>
      <c r="JM17" s="4">
        <v>0</v>
      </c>
      <c r="JN17" s="13">
        <v>1171.71</v>
      </c>
      <c r="JO17" s="13">
        <f t="shared" si="30"/>
        <v>0</v>
      </c>
      <c r="JP17" s="20">
        <f t="shared" si="147"/>
        <v>-4.0439279659975846E-2</v>
      </c>
      <c r="JQ17" s="15">
        <v>1407.01</v>
      </c>
      <c r="JR17" s="4">
        <v>0</v>
      </c>
      <c r="JS17" s="13">
        <v>1325.17</v>
      </c>
      <c r="JT17" s="13">
        <f t="shared" si="31"/>
        <v>0</v>
      </c>
      <c r="JU17" s="20">
        <f t="shared" si="148"/>
        <v>-5.8165897896958696E-2</v>
      </c>
      <c r="JV17" s="15">
        <v>1142.45</v>
      </c>
      <c r="JW17" s="4">
        <v>0</v>
      </c>
      <c r="JX17" s="13">
        <v>1076</v>
      </c>
      <c r="JY17" s="13">
        <f t="shared" si="32"/>
        <v>0</v>
      </c>
      <c r="JZ17" s="20">
        <f t="shared" si="149"/>
        <v>-5.8164471092826853E-2</v>
      </c>
      <c r="KA17" s="13">
        <v>1311.02</v>
      </c>
      <c r="KB17" s="4">
        <v>0</v>
      </c>
      <c r="KC17" s="13">
        <v>1246.44</v>
      </c>
      <c r="KD17" s="13">
        <f t="shared" si="33"/>
        <v>0</v>
      </c>
      <c r="KE17" s="20">
        <f t="shared" si="150"/>
        <v>-4.9259355311131681E-2</v>
      </c>
      <c r="KF17" s="15">
        <v>1016.16</v>
      </c>
      <c r="KG17" s="4">
        <v>1</v>
      </c>
      <c r="KH17" s="13">
        <v>957.05</v>
      </c>
      <c r="KI17" s="13">
        <f t="shared" si="34"/>
        <v>957.05</v>
      </c>
      <c r="KJ17" s="20">
        <f t="shared" si="151"/>
        <v>-5.8169973232561789E-2</v>
      </c>
      <c r="KK17" s="15">
        <v>1691.18</v>
      </c>
      <c r="KL17" s="4">
        <v>0</v>
      </c>
      <c r="KM17" s="13">
        <v>1667.83</v>
      </c>
      <c r="KN17" s="13">
        <f t="shared" si="35"/>
        <v>0</v>
      </c>
      <c r="KO17" s="20">
        <f t="shared" si="152"/>
        <v>-1.3806927707281424E-2</v>
      </c>
      <c r="KP17" s="15">
        <v>1011.5</v>
      </c>
      <c r="KQ17" s="4">
        <v>0</v>
      </c>
      <c r="KR17" s="13">
        <v>952.66</v>
      </c>
      <c r="KS17" s="13">
        <f t="shared" si="36"/>
        <v>0</v>
      </c>
      <c r="KT17" s="20">
        <f t="shared" si="153"/>
        <v>-5.8171033119130078E-2</v>
      </c>
      <c r="KU17" s="13">
        <v>1288.4100000000001</v>
      </c>
      <c r="KV17" s="4">
        <v>2</v>
      </c>
      <c r="KW17" s="13">
        <v>1213.47</v>
      </c>
      <c r="KX17" s="13">
        <f t="shared" si="37"/>
        <v>2426.94</v>
      </c>
      <c r="KY17" s="20">
        <f t="shared" si="154"/>
        <v>-5.816471464828743E-2</v>
      </c>
      <c r="KZ17" s="15">
        <v>953.49</v>
      </c>
      <c r="LA17" s="4">
        <v>0</v>
      </c>
      <c r="LB17" s="13">
        <v>898.03</v>
      </c>
      <c r="LC17" s="13">
        <f t="shared" si="38"/>
        <v>0</v>
      </c>
      <c r="LD17" s="20">
        <f t="shared" si="155"/>
        <v>-5.8165266547105965E-2</v>
      </c>
      <c r="LE17" s="13">
        <v>955.46</v>
      </c>
      <c r="LF17" s="4">
        <v>3</v>
      </c>
      <c r="LG17" s="13">
        <v>860.03</v>
      </c>
      <c r="LH17" s="13">
        <f t="shared" si="39"/>
        <v>2580.09</v>
      </c>
      <c r="LI17" s="20">
        <f t="shared" si="156"/>
        <v>-9.9878592510413866E-2</v>
      </c>
      <c r="LJ17" s="13">
        <v>955.46</v>
      </c>
      <c r="LK17" s="4">
        <v>0</v>
      </c>
      <c r="LL17" s="13">
        <v>899.88</v>
      </c>
      <c r="LM17" s="13">
        <f t="shared" si="40"/>
        <v>0</v>
      </c>
      <c r="LN17" s="20">
        <f t="shared" si="157"/>
        <v>-5.8170933372407085E-2</v>
      </c>
      <c r="LO17" s="15">
        <v>1944.19</v>
      </c>
      <c r="LP17" s="4">
        <v>0</v>
      </c>
      <c r="LQ17" s="13">
        <v>1848.41</v>
      </c>
      <c r="LR17" s="13">
        <f t="shared" si="41"/>
        <v>0</v>
      </c>
      <c r="LS17" s="20">
        <f t="shared" si="158"/>
        <v>-4.9264732356405494E-2</v>
      </c>
      <c r="LU17" s="3" t="s">
        <v>5</v>
      </c>
      <c r="LV17" s="13">
        <v>7696.58</v>
      </c>
      <c r="LW17" s="4">
        <v>0</v>
      </c>
      <c r="LX17" s="13">
        <v>7404.35</v>
      </c>
      <c r="LY17" s="13">
        <f t="shared" si="42"/>
        <v>0</v>
      </c>
      <c r="LZ17" s="12">
        <f t="shared" si="159"/>
        <v>-3.7968812121747519E-2</v>
      </c>
      <c r="MA17" s="13">
        <v>4103.82</v>
      </c>
      <c r="MB17" s="4">
        <v>3</v>
      </c>
      <c r="MC17" s="13">
        <v>3693.59</v>
      </c>
      <c r="MD17" s="13">
        <f t="shared" si="43"/>
        <v>11080.77</v>
      </c>
      <c r="ME17" s="12">
        <f t="shared" si="160"/>
        <v>-9.9962961338460166E-2</v>
      </c>
      <c r="MF17" s="13">
        <v>5011.6000000000004</v>
      </c>
      <c r="MG17" s="4">
        <v>0</v>
      </c>
      <c r="MH17" s="13">
        <v>4909.8500000000004</v>
      </c>
      <c r="MI17" s="13">
        <f t="shared" si="44"/>
        <v>0</v>
      </c>
      <c r="MJ17" s="12">
        <f t="shared" si="161"/>
        <v>-2.0302897278314358E-2</v>
      </c>
      <c r="MK17" s="15">
        <v>4125.7700000000004</v>
      </c>
      <c r="ML17" s="4">
        <v>0</v>
      </c>
      <c r="MM17" s="13">
        <v>3932.86</v>
      </c>
      <c r="MN17" s="13">
        <f t="shared" si="45"/>
        <v>0</v>
      </c>
      <c r="MO17" s="12">
        <f t="shared" si="162"/>
        <v>-4.6757332570647514E-2</v>
      </c>
      <c r="MP17" s="13">
        <v>3969.37</v>
      </c>
      <c r="MQ17" s="4">
        <v>0</v>
      </c>
      <c r="MR17" s="13">
        <v>3818.66</v>
      </c>
      <c r="MS17" s="13">
        <f t="shared" si="46"/>
        <v>0</v>
      </c>
      <c r="MT17" s="12">
        <f t="shared" si="163"/>
        <v>-3.7968241811672909E-2</v>
      </c>
      <c r="MU17" s="13">
        <v>3627.65</v>
      </c>
      <c r="MV17" s="4">
        <v>8</v>
      </c>
      <c r="MW17" s="13">
        <v>3627.95</v>
      </c>
      <c r="MX17" s="13">
        <f t="shared" si="47"/>
        <v>29023.599999999999</v>
      </c>
      <c r="MY17" s="12">
        <f t="shared" si="164"/>
        <v>8.269816547890052E-5</v>
      </c>
      <c r="MZ17" s="13">
        <v>3627.65</v>
      </c>
      <c r="NA17" s="4">
        <v>0</v>
      </c>
      <c r="NB17" s="13">
        <v>3265.01</v>
      </c>
      <c r="NC17" s="13">
        <f t="shared" si="48"/>
        <v>0</v>
      </c>
      <c r="ND17" s="12">
        <f t="shared" si="165"/>
        <v>-9.996554243105038E-2</v>
      </c>
      <c r="NE17" s="13">
        <v>3627.65</v>
      </c>
      <c r="NF17" s="4">
        <v>3</v>
      </c>
      <c r="NG17" s="13">
        <v>3458.02</v>
      </c>
      <c r="NH17" s="13">
        <f t="shared" si="49"/>
        <v>10374.06</v>
      </c>
      <c r="NI17" s="12">
        <f t="shared" si="166"/>
        <v>-4.6760299367359037E-2</v>
      </c>
      <c r="NJ17" s="13">
        <v>4173.6499999999996</v>
      </c>
      <c r="NK17" s="4">
        <v>1</v>
      </c>
      <c r="NL17" s="13">
        <v>3904.79</v>
      </c>
      <c r="NM17" s="13">
        <f t="shared" si="50"/>
        <v>3904.79</v>
      </c>
      <c r="NN17" s="12">
        <f t="shared" si="167"/>
        <v>-6.4418434703437E-2</v>
      </c>
      <c r="NO17" s="13">
        <v>3424.04</v>
      </c>
      <c r="NP17" s="4">
        <v>0</v>
      </c>
      <c r="NQ17" s="13">
        <v>3263.93</v>
      </c>
      <c r="NR17" s="13">
        <f t="shared" si="51"/>
        <v>0</v>
      </c>
      <c r="NS17" s="12">
        <f t="shared" si="168"/>
        <v>-4.6760551862711885E-2</v>
      </c>
      <c r="NT17" s="13">
        <v>3888.51</v>
      </c>
      <c r="NU17" s="4">
        <v>0</v>
      </c>
      <c r="NV17" s="13">
        <v>3706.7</v>
      </c>
      <c r="NW17" s="13">
        <f t="shared" si="52"/>
        <v>0</v>
      </c>
      <c r="NX17" s="12">
        <f t="shared" si="169"/>
        <v>-4.6755698198024498E-2</v>
      </c>
      <c r="NY17" s="13">
        <v>3044.81</v>
      </c>
      <c r="NZ17" s="4">
        <v>0</v>
      </c>
      <c r="OA17" s="13">
        <v>2848.65</v>
      </c>
      <c r="OB17" s="13">
        <f t="shared" si="53"/>
        <v>0</v>
      </c>
      <c r="OC17" s="12">
        <f t="shared" si="170"/>
        <v>-6.4424381160072319E-2</v>
      </c>
      <c r="OD17" s="15">
        <v>5599.98</v>
      </c>
      <c r="OE17" s="4">
        <v>0</v>
      </c>
      <c r="OF17" s="13">
        <v>5486.29</v>
      </c>
      <c r="OG17" s="13">
        <f t="shared" si="54"/>
        <v>0</v>
      </c>
      <c r="OH17" s="12">
        <f t="shared" si="171"/>
        <v>-2.030185822092212E-2</v>
      </c>
      <c r="OI17" s="15">
        <v>3001.65</v>
      </c>
      <c r="OJ17" s="4">
        <v>0</v>
      </c>
      <c r="OK17" s="13">
        <v>2808.28</v>
      </c>
      <c r="OL17" s="13">
        <f t="shared" si="55"/>
        <v>0</v>
      </c>
      <c r="OM17" s="12">
        <f t="shared" si="172"/>
        <v>-6.4421234987423581E-2</v>
      </c>
      <c r="ON17" s="13">
        <v>3815.83</v>
      </c>
      <c r="OO17" s="4">
        <v>0</v>
      </c>
      <c r="OP17" s="13">
        <v>3570.01</v>
      </c>
      <c r="OQ17" s="13">
        <f t="shared" si="56"/>
        <v>0</v>
      </c>
      <c r="OR17" s="12">
        <f t="shared" si="173"/>
        <v>-6.4421108906843272E-2</v>
      </c>
      <c r="OS17" s="13">
        <v>2829.23</v>
      </c>
      <c r="OT17" s="4">
        <v>1</v>
      </c>
      <c r="OU17" s="13">
        <v>2646.96</v>
      </c>
      <c r="OV17" s="13">
        <f t="shared" si="57"/>
        <v>2646.96</v>
      </c>
      <c r="OW17" s="12">
        <f t="shared" si="174"/>
        <v>-6.4423889185396765E-2</v>
      </c>
      <c r="OX17" s="13">
        <v>2863.63</v>
      </c>
      <c r="OY17" s="4">
        <v>0</v>
      </c>
      <c r="OZ17" s="13">
        <v>2577.38</v>
      </c>
      <c r="PA17" s="13">
        <f t="shared" si="58"/>
        <v>0</v>
      </c>
      <c r="PB17" s="12">
        <f t="shared" si="175"/>
        <v>-9.9960539594849851E-2</v>
      </c>
      <c r="PC17" s="13">
        <v>2863.63</v>
      </c>
      <c r="PD17" s="4">
        <v>1</v>
      </c>
      <c r="PE17" s="13">
        <v>2729.74</v>
      </c>
      <c r="PF17" s="13">
        <f t="shared" si="59"/>
        <v>2729.74</v>
      </c>
      <c r="PG17" s="12">
        <f t="shared" si="176"/>
        <v>-4.6755341995998179E-2</v>
      </c>
      <c r="PH17" s="13">
        <v>5769.99</v>
      </c>
      <c r="PI17" s="4">
        <v>0</v>
      </c>
      <c r="PJ17" s="13">
        <v>5550.92</v>
      </c>
      <c r="PK17" s="13">
        <f t="shared" si="60"/>
        <v>0</v>
      </c>
      <c r="PL17" s="12">
        <f t="shared" si="177"/>
        <v>-3.7967136858122807E-2</v>
      </c>
      <c r="PN17" s="3" t="s">
        <v>5</v>
      </c>
      <c r="PO17" s="15">
        <v>7221.48</v>
      </c>
      <c r="PP17" s="4"/>
      <c r="PQ17" s="13"/>
      <c r="PR17" s="13">
        <f t="shared" si="61"/>
        <v>0</v>
      </c>
      <c r="PS17" s="12">
        <f t="shared" si="178"/>
        <v>-1</v>
      </c>
      <c r="PT17" s="13">
        <v>3850.49</v>
      </c>
      <c r="PU17" s="4">
        <v>0</v>
      </c>
      <c r="PV17" s="13"/>
      <c r="PW17" s="13">
        <f t="shared" si="62"/>
        <v>0</v>
      </c>
      <c r="PX17" s="12">
        <f t="shared" si="179"/>
        <v>-1</v>
      </c>
      <c r="PY17" s="13">
        <v>4702.24</v>
      </c>
      <c r="PZ17" s="4">
        <v>0</v>
      </c>
      <c r="QA17" s="13"/>
      <c r="QB17" s="13">
        <f t="shared" si="63"/>
        <v>0</v>
      </c>
      <c r="QC17" s="12">
        <f t="shared" si="180"/>
        <v>-1</v>
      </c>
      <c r="QD17" s="15">
        <v>3871.08</v>
      </c>
      <c r="QE17" s="4"/>
      <c r="QF17" s="13"/>
      <c r="QG17" s="13">
        <f t="shared" si="64"/>
        <v>0</v>
      </c>
      <c r="QH17" s="12">
        <f t="shared" si="181"/>
        <v>-1</v>
      </c>
      <c r="QI17" s="15">
        <v>3724.34</v>
      </c>
      <c r="QJ17" s="4"/>
      <c r="QK17" s="13"/>
      <c r="QL17" s="13">
        <f t="shared" si="65"/>
        <v>0</v>
      </c>
      <c r="QM17" s="12">
        <f t="shared" si="182"/>
        <v>-1</v>
      </c>
      <c r="QN17" s="15">
        <v>3403.72</v>
      </c>
      <c r="QO17" s="4"/>
      <c r="QP17" s="13"/>
      <c r="QQ17" s="13">
        <f t="shared" si="66"/>
        <v>0</v>
      </c>
      <c r="QR17" s="12">
        <f t="shared" si="183"/>
        <v>-1</v>
      </c>
      <c r="QS17" s="15">
        <v>3916.01</v>
      </c>
      <c r="QT17" s="4"/>
      <c r="QU17" s="13"/>
      <c r="QV17" s="13">
        <f t="shared" si="67"/>
        <v>0</v>
      </c>
      <c r="QW17" s="12">
        <f t="shared" si="184"/>
        <v>-1</v>
      </c>
      <c r="QX17" s="15">
        <v>3212.67</v>
      </c>
      <c r="QY17" s="4"/>
      <c r="QZ17" s="13"/>
      <c r="RA17" s="13">
        <f t="shared" si="68"/>
        <v>0</v>
      </c>
      <c r="RB17" s="12">
        <f t="shared" si="185"/>
        <v>-1</v>
      </c>
      <c r="RC17" s="15">
        <v>3648.47</v>
      </c>
      <c r="RD17" s="4"/>
      <c r="RE17" s="13"/>
      <c r="RF17" s="13">
        <f t="shared" si="69"/>
        <v>0</v>
      </c>
      <c r="RG17" s="12">
        <f t="shared" si="186"/>
        <v>-1</v>
      </c>
      <c r="RH17" s="15">
        <v>2856.85</v>
      </c>
      <c r="RI17" s="4"/>
      <c r="RJ17" s="13"/>
      <c r="RK17" s="13">
        <f t="shared" si="70"/>
        <v>0</v>
      </c>
      <c r="RL17" s="12">
        <f t="shared" si="187"/>
        <v>-1</v>
      </c>
      <c r="RM17" s="15">
        <v>5254.29</v>
      </c>
      <c r="RN17" s="4"/>
      <c r="RO17" s="13"/>
      <c r="RP17" s="13">
        <f t="shared" si="71"/>
        <v>0</v>
      </c>
      <c r="RQ17" s="12">
        <f t="shared" si="188"/>
        <v>-1</v>
      </c>
      <c r="RR17" s="15">
        <v>2816.36</v>
      </c>
      <c r="RS17" s="4"/>
      <c r="RT17" s="13"/>
      <c r="RU17" s="13">
        <f t="shared" si="72"/>
        <v>0</v>
      </c>
      <c r="RV17" s="12">
        <f t="shared" si="189"/>
        <v>-1</v>
      </c>
      <c r="RW17" s="15">
        <v>3580.28</v>
      </c>
      <c r="RX17" s="4"/>
      <c r="RY17" s="13"/>
      <c r="RZ17" s="13">
        <f t="shared" si="73"/>
        <v>0</v>
      </c>
      <c r="SA17" s="12">
        <f t="shared" si="190"/>
        <v>-1</v>
      </c>
      <c r="SB17" s="15">
        <v>2654.58</v>
      </c>
      <c r="SC17" s="4"/>
      <c r="SD17" s="13"/>
      <c r="SE17" s="13">
        <f t="shared" si="74"/>
        <v>0</v>
      </c>
      <c r="SF17" s="12">
        <f t="shared" si="191"/>
        <v>-1</v>
      </c>
      <c r="SG17" s="15">
        <v>2686.86</v>
      </c>
      <c r="SH17" s="4"/>
      <c r="SI17" s="13"/>
      <c r="SJ17" s="13">
        <f t="shared" si="75"/>
        <v>0</v>
      </c>
      <c r="SK17" s="12">
        <f t="shared" si="192"/>
        <v>-1</v>
      </c>
      <c r="SL17" s="15">
        <v>5413.81</v>
      </c>
      <c r="SM17" s="4"/>
      <c r="SN17" s="13"/>
      <c r="SO17" s="13">
        <f t="shared" si="76"/>
        <v>0</v>
      </c>
      <c r="SP17" s="12">
        <f t="shared" si="193"/>
        <v>-1</v>
      </c>
    </row>
    <row r="18" spans="1:510" x14ac:dyDescent="0.25">
      <c r="A18" s="3" t="s">
        <v>6</v>
      </c>
      <c r="B18" s="13">
        <v>5888.91</v>
      </c>
      <c r="C18" s="4">
        <v>0</v>
      </c>
      <c r="D18" s="13">
        <v>5300</v>
      </c>
      <c r="E18" s="13">
        <f t="shared" si="77"/>
        <v>0</v>
      </c>
      <c r="F18" s="20">
        <f t="shared" si="78"/>
        <v>-0.10000322640352799</v>
      </c>
      <c r="H18" s="3" t="s">
        <v>6</v>
      </c>
      <c r="I18" s="13">
        <v>1837.73</v>
      </c>
      <c r="J18" s="4">
        <v>0</v>
      </c>
      <c r="K18" s="13">
        <v>1654.03</v>
      </c>
      <c r="L18" s="13">
        <f t="shared" si="0"/>
        <v>0</v>
      </c>
      <c r="M18" s="20">
        <f t="shared" si="79"/>
        <v>-9.9960277080964E-2</v>
      </c>
      <c r="O18" s="3" t="s">
        <v>6</v>
      </c>
      <c r="P18" s="13">
        <v>5467.36</v>
      </c>
      <c r="Q18" s="4">
        <v>2</v>
      </c>
      <c r="R18" s="13">
        <v>4920.6000000000004</v>
      </c>
      <c r="S18" s="13">
        <f t="shared" si="1"/>
        <v>9841.2000000000007</v>
      </c>
      <c r="T18" s="20">
        <f t="shared" si="80"/>
        <v>-0.10000438968716152</v>
      </c>
      <c r="V18" s="3" t="s">
        <v>6</v>
      </c>
      <c r="W18" s="15">
        <v>6004.34</v>
      </c>
      <c r="X18" s="4">
        <v>0</v>
      </c>
      <c r="Y18" s="13">
        <v>5646.38</v>
      </c>
      <c r="Z18" s="13">
        <f t="shared" si="2"/>
        <v>0</v>
      </c>
      <c r="AA18" s="12">
        <f t="shared" si="81"/>
        <v>-5.9616877125545864E-2</v>
      </c>
      <c r="AB18" s="15">
        <v>5206.8900000000003</v>
      </c>
      <c r="AC18" s="4">
        <v>0</v>
      </c>
      <c r="AD18" s="13">
        <v>4941.6000000000004</v>
      </c>
      <c r="AE18" s="13">
        <f t="shared" si="3"/>
        <v>0</v>
      </c>
      <c r="AF18" s="12">
        <f t="shared" si="82"/>
        <v>-5.0949799208356628E-2</v>
      </c>
      <c r="AG18" s="33">
        <v>4859.6000000000004</v>
      </c>
      <c r="AH18" s="4">
        <v>1</v>
      </c>
      <c r="AI18" s="13">
        <v>4616.72</v>
      </c>
      <c r="AJ18" s="13">
        <f t="shared" si="4"/>
        <v>4616.72</v>
      </c>
      <c r="AK18" s="12">
        <f t="shared" si="83"/>
        <v>-4.9979422174664556E-2</v>
      </c>
      <c r="AL18" s="15">
        <v>4368.05</v>
      </c>
      <c r="AM18" s="4">
        <v>0</v>
      </c>
      <c r="AN18" s="13">
        <v>4031.51</v>
      </c>
      <c r="AO18" s="13">
        <f t="shared" si="5"/>
        <v>0</v>
      </c>
      <c r="AP18" s="12">
        <f t="shared" si="84"/>
        <v>-7.7045821361934941E-2</v>
      </c>
      <c r="AQ18" s="15">
        <v>4311.38</v>
      </c>
      <c r="AR18" s="4">
        <v>0</v>
      </c>
      <c r="AS18" s="13">
        <v>3979.22</v>
      </c>
      <c r="AT18" s="13">
        <f t="shared" si="6"/>
        <v>0</v>
      </c>
      <c r="AU18" s="12">
        <f t="shared" si="85"/>
        <v>-7.7042617444994521E-2</v>
      </c>
      <c r="AV18" s="33">
        <v>4015.33</v>
      </c>
      <c r="AW18" s="4">
        <v>0</v>
      </c>
      <c r="AX18" s="13">
        <v>3743.96</v>
      </c>
      <c r="AY18" s="13">
        <f t="shared" si="7"/>
        <v>0</v>
      </c>
      <c r="AZ18" s="12">
        <f t="shared" si="86"/>
        <v>-6.7583486288798178E-2</v>
      </c>
      <c r="BB18" s="3" t="s">
        <v>6</v>
      </c>
      <c r="BC18" s="15">
        <v>1837.73</v>
      </c>
      <c r="BD18" s="4">
        <v>0</v>
      </c>
      <c r="BE18" s="13">
        <v>1745.93</v>
      </c>
      <c r="BF18" s="13">
        <f t="shared" si="8"/>
        <v>0</v>
      </c>
      <c r="BG18" s="12">
        <f t="shared" si="87"/>
        <v>-4.9952931061690187E-2</v>
      </c>
      <c r="BH18" s="15">
        <v>1642.49</v>
      </c>
      <c r="BI18" s="4">
        <v>0</v>
      </c>
      <c r="BJ18" s="13">
        <v>1589.8</v>
      </c>
      <c r="BK18" s="13">
        <f t="shared" si="9"/>
        <v>0</v>
      </c>
      <c r="BL18" s="12">
        <f t="shared" si="88"/>
        <v>-3.2079342948815537E-2</v>
      </c>
      <c r="BM18" s="13">
        <v>1536.72</v>
      </c>
      <c r="BN18" s="4">
        <v>0</v>
      </c>
      <c r="BO18" s="13">
        <v>1459.95</v>
      </c>
      <c r="BP18" s="13">
        <f t="shared" si="10"/>
        <v>0</v>
      </c>
      <c r="BQ18" s="12">
        <f t="shared" si="89"/>
        <v>-4.9957051382164552E-2</v>
      </c>
      <c r="BR18" s="13">
        <v>1366.84</v>
      </c>
      <c r="BS18" s="4">
        <v>2</v>
      </c>
      <c r="BT18" s="13">
        <v>1298.55</v>
      </c>
      <c r="BU18" s="13">
        <f t="shared" si="11"/>
        <v>2597.1</v>
      </c>
      <c r="BV18" s="12">
        <f t="shared" si="90"/>
        <v>-4.9961956044599187E-2</v>
      </c>
      <c r="BW18" s="15">
        <v>1360.57</v>
      </c>
      <c r="BX18" s="4">
        <v>0</v>
      </c>
      <c r="BY18" s="13">
        <v>1292.6099999999999</v>
      </c>
      <c r="BZ18" s="13">
        <f t="shared" si="12"/>
        <v>0</v>
      </c>
      <c r="CA18" s="12">
        <f t="shared" si="91"/>
        <v>-4.99496534540671E-2</v>
      </c>
      <c r="CB18" s="15">
        <v>1282.53</v>
      </c>
      <c r="CC18" s="4">
        <v>0</v>
      </c>
      <c r="CD18" s="13">
        <v>1218.47</v>
      </c>
      <c r="CE18" s="13">
        <f t="shared" si="13"/>
        <v>0</v>
      </c>
      <c r="CF18" s="12">
        <f t="shared" si="92"/>
        <v>-4.9948149361028538E-2</v>
      </c>
      <c r="CH18" s="3" t="s">
        <v>6</v>
      </c>
      <c r="CI18" s="13">
        <v>5531.66</v>
      </c>
      <c r="CJ18" s="4">
        <v>0</v>
      </c>
      <c r="CK18" s="13">
        <v>5278.34</v>
      </c>
      <c r="CL18" s="13">
        <f t="shared" si="14"/>
        <v>0</v>
      </c>
      <c r="CM18" s="12">
        <f t="shared" si="93"/>
        <v>-4.579457161141498E-2</v>
      </c>
      <c r="CN18" s="15">
        <v>4863.8</v>
      </c>
      <c r="CO18" s="4">
        <v>0</v>
      </c>
      <c r="CP18" s="13">
        <v>4641.07</v>
      </c>
      <c r="CQ18" s="13">
        <f t="shared" si="15"/>
        <v>0</v>
      </c>
      <c r="CR18" s="12">
        <f t="shared" si="94"/>
        <v>-4.5793412558082225E-2</v>
      </c>
      <c r="CS18" s="13">
        <v>4590.79</v>
      </c>
      <c r="CT18" s="4">
        <v>2</v>
      </c>
      <c r="CU18" s="13">
        <v>4380.58</v>
      </c>
      <c r="CV18" s="13">
        <f t="shared" si="16"/>
        <v>8761.16</v>
      </c>
      <c r="CW18" s="12">
        <f t="shared" si="95"/>
        <v>-4.5789504638635181E-2</v>
      </c>
      <c r="CX18" s="13">
        <v>4082.35</v>
      </c>
      <c r="CY18" s="4">
        <v>0</v>
      </c>
      <c r="CZ18" s="13">
        <v>3823.23</v>
      </c>
      <c r="DA18" s="13">
        <f t="shared" si="17"/>
        <v>0</v>
      </c>
      <c r="DB18" s="12">
        <f t="shared" si="96"/>
        <v>-6.3473244577265553E-2</v>
      </c>
      <c r="DC18" s="15">
        <v>4024.5</v>
      </c>
      <c r="DD18" s="4">
        <v>0</v>
      </c>
      <c r="DE18" s="13">
        <v>3769.03</v>
      </c>
      <c r="DF18" s="13">
        <f t="shared" si="18"/>
        <v>0</v>
      </c>
      <c r="DG18" s="12">
        <f t="shared" si="97"/>
        <v>-6.3478693005342257E-2</v>
      </c>
      <c r="DH18" s="13">
        <v>3793.32</v>
      </c>
      <c r="DI18" s="4">
        <v>0</v>
      </c>
      <c r="DJ18" s="13">
        <v>3552.53</v>
      </c>
      <c r="DK18" s="13">
        <f t="shared" si="19"/>
        <v>0</v>
      </c>
      <c r="DL18" s="12">
        <f t="shared" si="98"/>
        <v>-6.3477376018896359E-2</v>
      </c>
      <c r="DN18" s="3" t="s">
        <v>6</v>
      </c>
      <c r="DO18" s="13">
        <v>10187.969999999999</v>
      </c>
      <c r="DP18" s="4">
        <v>2</v>
      </c>
      <c r="DQ18" s="13">
        <v>10189.17</v>
      </c>
      <c r="DR18" s="13">
        <f t="shared" si="20"/>
        <v>20378.34</v>
      </c>
      <c r="DS18" s="20">
        <f t="shared" si="99"/>
        <v>1.177859769905254E-4</v>
      </c>
      <c r="DU18" s="3" t="s">
        <v>6</v>
      </c>
      <c r="DV18" s="13">
        <v>8118.32</v>
      </c>
      <c r="DW18" s="4">
        <v>0</v>
      </c>
      <c r="DX18" s="13">
        <v>8119.29</v>
      </c>
      <c r="DY18" s="13">
        <f t="shared" si="21"/>
        <v>0</v>
      </c>
      <c r="DZ18" s="20">
        <f t="shared" si="100"/>
        <v>1.1948284866813985E-4</v>
      </c>
      <c r="EB18" s="3" t="s">
        <v>6</v>
      </c>
      <c r="EC18" s="13">
        <v>8118.32</v>
      </c>
      <c r="ED18" s="4">
        <v>3</v>
      </c>
      <c r="EE18" s="13">
        <v>8119.29</v>
      </c>
      <c r="EF18" s="13">
        <f t="shared" si="22"/>
        <v>24357.87</v>
      </c>
      <c r="EG18" s="20">
        <f t="shared" si="101"/>
        <v>1.1948284866813985E-4</v>
      </c>
      <c r="EI18" s="3" t="s">
        <v>6</v>
      </c>
      <c r="EJ18" s="13">
        <v>9930.3700000000008</v>
      </c>
      <c r="EK18" s="4">
        <v>0</v>
      </c>
      <c r="EL18" s="13">
        <v>9545.74</v>
      </c>
      <c r="EM18" s="13">
        <f t="shared" si="102"/>
        <v>0</v>
      </c>
      <c r="EN18" s="20">
        <f t="shared" si="103"/>
        <v>-3.8732695760581026E-2</v>
      </c>
      <c r="EO18" s="13">
        <v>5109.24</v>
      </c>
      <c r="EP18" s="4">
        <v>0</v>
      </c>
      <c r="EQ18" s="13">
        <v>4598.32</v>
      </c>
      <c r="ER18" s="13">
        <f t="shared" si="104"/>
        <v>0</v>
      </c>
      <c r="ES18" s="20">
        <f t="shared" si="105"/>
        <v>-9.9999217104696614E-2</v>
      </c>
      <c r="ET18" s="13">
        <v>6672.16</v>
      </c>
      <c r="EU18" s="4">
        <v>2</v>
      </c>
      <c r="EV18" s="13">
        <v>6588.5</v>
      </c>
      <c r="EW18" s="13">
        <f t="shared" si="106"/>
        <v>13177</v>
      </c>
      <c r="EX18" s="20">
        <f t="shared" si="107"/>
        <v>-1.2538668137454745E-2</v>
      </c>
      <c r="EY18" s="15">
        <v>5207.53</v>
      </c>
      <c r="EZ18" s="4">
        <v>0</v>
      </c>
      <c r="FA18" s="13">
        <v>4915.1899999999996</v>
      </c>
      <c r="FB18" s="13">
        <f t="shared" si="108"/>
        <v>0</v>
      </c>
      <c r="FC18" s="20">
        <f t="shared" si="109"/>
        <v>-5.6137938715667524E-2</v>
      </c>
      <c r="FD18" s="15">
        <v>4705.9399999999996</v>
      </c>
      <c r="FE18" s="4">
        <v>0</v>
      </c>
      <c r="FF18" s="13">
        <v>4482.72</v>
      </c>
      <c r="FG18" s="13">
        <f t="shared" si="110"/>
        <v>0</v>
      </c>
      <c r="FH18" s="20">
        <f t="shared" si="111"/>
        <v>-4.7433668937555407E-2</v>
      </c>
      <c r="FI18" s="13">
        <v>4515.88</v>
      </c>
      <c r="FJ18" s="4">
        <v>0</v>
      </c>
      <c r="FK18" s="13">
        <v>4516.0600000000004</v>
      </c>
      <c r="FL18" s="13">
        <f t="shared" si="112"/>
        <v>0</v>
      </c>
      <c r="FM18" s="20">
        <f t="shared" si="113"/>
        <v>3.9859340815073807E-5</v>
      </c>
      <c r="FN18" s="13">
        <v>4515.88</v>
      </c>
      <c r="FO18" s="4">
        <v>0</v>
      </c>
      <c r="FP18" s="13">
        <v>4064.69</v>
      </c>
      <c r="FQ18" s="13">
        <f t="shared" si="114"/>
        <v>0</v>
      </c>
      <c r="FR18" s="20">
        <f t="shared" si="115"/>
        <v>-9.991186656864226E-2</v>
      </c>
      <c r="FS18" s="13">
        <v>4515.88</v>
      </c>
      <c r="FT18" s="4">
        <v>0</v>
      </c>
      <c r="FU18" s="13">
        <v>4301.67</v>
      </c>
      <c r="FV18" s="13">
        <f t="shared" si="116"/>
        <v>0</v>
      </c>
      <c r="FW18" s="20">
        <f t="shared" si="117"/>
        <v>-4.7434829977767379E-2</v>
      </c>
      <c r="FX18" s="15">
        <v>5161.72</v>
      </c>
      <c r="FY18" s="4">
        <v>0</v>
      </c>
      <c r="FZ18" s="13">
        <v>4781.66</v>
      </c>
      <c r="GA18" s="13">
        <f t="shared" si="118"/>
        <v>0</v>
      </c>
      <c r="GB18" s="20">
        <f t="shared" si="119"/>
        <v>-7.3630495261269524E-2</v>
      </c>
      <c r="GC18" s="13">
        <v>4257.8900000000003</v>
      </c>
      <c r="GD18" s="4">
        <v>0</v>
      </c>
      <c r="GE18" s="13">
        <v>4018.86</v>
      </c>
      <c r="GF18" s="13">
        <f t="shared" si="120"/>
        <v>0</v>
      </c>
      <c r="GG18" s="20">
        <f t="shared" si="121"/>
        <v>-5.6138134146255569E-2</v>
      </c>
      <c r="GH18" s="15">
        <v>4810.25</v>
      </c>
      <c r="GI18" s="4">
        <v>1</v>
      </c>
      <c r="GJ18" s="13">
        <v>4540.22</v>
      </c>
      <c r="GK18" s="13">
        <f t="shared" si="122"/>
        <v>4540.22</v>
      </c>
      <c r="GL18" s="20">
        <f t="shared" si="123"/>
        <v>-5.6136375448261444E-2</v>
      </c>
      <c r="GM18" s="15">
        <v>3788.38</v>
      </c>
      <c r="GN18" s="4">
        <v>0</v>
      </c>
      <c r="GO18" s="13">
        <v>3509.44</v>
      </c>
      <c r="GP18" s="13">
        <f t="shared" si="124"/>
        <v>0</v>
      </c>
      <c r="GQ18" s="20">
        <f t="shared" si="125"/>
        <v>-7.3630417223193079E-2</v>
      </c>
      <c r="GR18" s="13">
        <v>8235.24</v>
      </c>
      <c r="GS18" s="4">
        <v>0</v>
      </c>
      <c r="GT18" s="13">
        <v>7988.65</v>
      </c>
      <c r="GU18" s="13">
        <f t="shared" si="126"/>
        <v>0</v>
      </c>
      <c r="GV18" s="20">
        <f t="shared" si="127"/>
        <v>-2.9943268198619588E-2</v>
      </c>
      <c r="GW18" s="15">
        <v>3739.23</v>
      </c>
      <c r="GX18" s="4">
        <v>0</v>
      </c>
      <c r="GY18" s="13">
        <v>3463.91</v>
      </c>
      <c r="GZ18" s="13">
        <f t="shared" si="128"/>
        <v>0</v>
      </c>
      <c r="HA18" s="20">
        <f t="shared" si="129"/>
        <v>-7.3630132406939386E-2</v>
      </c>
      <c r="HB18" s="15">
        <v>4963.68</v>
      </c>
      <c r="HC18" s="4">
        <v>0</v>
      </c>
      <c r="HD18" s="13">
        <v>4598.21</v>
      </c>
      <c r="HE18" s="13">
        <f t="shared" si="130"/>
        <v>0</v>
      </c>
      <c r="HF18" s="20">
        <f t="shared" si="131"/>
        <v>-7.3628839892982634E-2</v>
      </c>
      <c r="HG18" s="15">
        <v>3518.17</v>
      </c>
      <c r="HH18" s="4">
        <v>0</v>
      </c>
      <c r="HI18" s="13">
        <v>3259.13</v>
      </c>
      <c r="HJ18" s="13">
        <f t="shared" si="132"/>
        <v>0</v>
      </c>
      <c r="HK18" s="20">
        <f t="shared" si="133"/>
        <v>-7.3629187901664728E-2</v>
      </c>
      <c r="HL18" s="13">
        <v>3558.98</v>
      </c>
      <c r="HM18" s="4">
        <v>0</v>
      </c>
      <c r="HN18" s="13">
        <v>3203.23</v>
      </c>
      <c r="HO18" s="13">
        <f t="shared" si="134"/>
        <v>0</v>
      </c>
      <c r="HP18" s="20">
        <f t="shared" si="135"/>
        <v>-9.9958415051503491E-2</v>
      </c>
      <c r="HQ18" s="13">
        <v>3558.98</v>
      </c>
      <c r="HR18" s="4">
        <v>4</v>
      </c>
      <c r="HS18" s="13">
        <v>3296.93</v>
      </c>
      <c r="HT18" s="13">
        <f t="shared" si="136"/>
        <v>13187.72</v>
      </c>
      <c r="HU18" s="20">
        <f t="shared" si="137"/>
        <v>-7.3630646983124381E-2</v>
      </c>
      <c r="HV18" s="13">
        <v>8946.7199999999993</v>
      </c>
      <c r="HW18" s="4">
        <v>0</v>
      </c>
      <c r="HX18" s="13">
        <v>8834.5499999999993</v>
      </c>
      <c r="HY18" s="13">
        <f t="shared" si="138"/>
        <v>0</v>
      </c>
      <c r="HZ18" s="20">
        <f t="shared" si="139"/>
        <v>-1.2537555662857414E-2</v>
      </c>
      <c r="IB18" s="3" t="s">
        <v>6</v>
      </c>
      <c r="IC18" s="15">
        <v>3004.51</v>
      </c>
      <c r="ID18" s="4">
        <v>0</v>
      </c>
      <c r="IE18" s="13">
        <v>2883.01</v>
      </c>
      <c r="IF18" s="13">
        <f t="shared" si="23"/>
        <v>0</v>
      </c>
      <c r="IG18" s="20">
        <f t="shared" si="140"/>
        <v>-4.043920639305576E-2</v>
      </c>
      <c r="IH18" s="13">
        <v>1589.68</v>
      </c>
      <c r="II18" s="4">
        <v>0</v>
      </c>
      <c r="IJ18" s="13">
        <v>1430.7</v>
      </c>
      <c r="IK18" s="13">
        <f t="shared" si="24"/>
        <v>0</v>
      </c>
      <c r="IL18" s="20">
        <f t="shared" si="141"/>
        <v>-0.10000754868904438</v>
      </c>
      <c r="IM18" s="13">
        <v>1911.86</v>
      </c>
      <c r="IN18" s="4">
        <v>0</v>
      </c>
      <c r="IO18" s="13">
        <v>1885.45</v>
      </c>
      <c r="IP18" s="13">
        <f t="shared" si="25"/>
        <v>0</v>
      </c>
      <c r="IQ18" s="20">
        <f t="shared" si="142"/>
        <v>-1.381377297500852E-2</v>
      </c>
      <c r="IR18" s="13">
        <v>1599.15</v>
      </c>
      <c r="IS18" s="4">
        <v>0</v>
      </c>
      <c r="IT18" s="13">
        <v>1506.13</v>
      </c>
      <c r="IU18" s="13">
        <f t="shared" si="26"/>
        <v>0</v>
      </c>
      <c r="IV18" s="20">
        <f t="shared" si="143"/>
        <v>-5.8168401963543115E-2</v>
      </c>
      <c r="IW18" s="15">
        <v>1339.64</v>
      </c>
      <c r="IX18" s="4">
        <v>0</v>
      </c>
      <c r="IY18" s="13">
        <v>1261.71</v>
      </c>
      <c r="IZ18" s="13">
        <f t="shared" si="27"/>
        <v>0</v>
      </c>
      <c r="JA18" s="20">
        <f t="shared" si="144"/>
        <v>-5.81723448090532E-2</v>
      </c>
      <c r="JB18" s="13">
        <v>1429.25</v>
      </c>
      <c r="JC18" s="4">
        <v>0</v>
      </c>
      <c r="JD18" s="13">
        <v>1429.28</v>
      </c>
      <c r="JE18" s="13">
        <f t="shared" si="28"/>
        <v>0</v>
      </c>
      <c r="JF18" s="20">
        <f t="shared" si="145"/>
        <v>2.0990029735878935E-5</v>
      </c>
      <c r="JG18" s="13">
        <v>1429.25</v>
      </c>
      <c r="JH18" s="4">
        <v>0</v>
      </c>
      <c r="JI18" s="13">
        <v>1286.33</v>
      </c>
      <c r="JJ18" s="13">
        <f t="shared" si="29"/>
        <v>0</v>
      </c>
      <c r="JK18" s="20">
        <f t="shared" si="146"/>
        <v>-9.9996501661710702E-2</v>
      </c>
      <c r="JL18" s="13">
        <v>1429.25</v>
      </c>
      <c r="JM18" s="4">
        <v>0</v>
      </c>
      <c r="JN18" s="13">
        <v>1371.44</v>
      </c>
      <c r="JO18" s="13">
        <f t="shared" si="30"/>
        <v>0</v>
      </c>
      <c r="JP18" s="20">
        <f t="shared" si="147"/>
        <v>-4.0447787301031934E-2</v>
      </c>
      <c r="JQ18" s="15">
        <v>1646.86</v>
      </c>
      <c r="JR18" s="4">
        <v>0</v>
      </c>
      <c r="JS18" s="13">
        <v>1551.07</v>
      </c>
      <c r="JT18" s="13">
        <f t="shared" si="31"/>
        <v>0</v>
      </c>
      <c r="JU18" s="20">
        <f t="shared" si="148"/>
        <v>-5.8165235660590398E-2</v>
      </c>
      <c r="JV18" s="15">
        <v>1337.21</v>
      </c>
      <c r="JW18" s="4">
        <v>0</v>
      </c>
      <c r="JX18" s="13">
        <v>1259.43</v>
      </c>
      <c r="JY18" s="13">
        <f t="shared" si="32"/>
        <v>0</v>
      </c>
      <c r="JZ18" s="20">
        <f t="shared" si="149"/>
        <v>-5.8165882696061155E-2</v>
      </c>
      <c r="KA18" s="13">
        <v>1534.51</v>
      </c>
      <c r="KB18" s="4">
        <v>0</v>
      </c>
      <c r="KC18" s="13">
        <v>1458.92</v>
      </c>
      <c r="KD18" s="13">
        <f t="shared" si="33"/>
        <v>0</v>
      </c>
      <c r="KE18" s="20">
        <f t="shared" si="150"/>
        <v>-4.9260024372601019E-2</v>
      </c>
      <c r="KF18" s="15">
        <v>1189.3800000000001</v>
      </c>
      <c r="KG18" s="4">
        <v>0</v>
      </c>
      <c r="KH18" s="13">
        <v>1120.2</v>
      </c>
      <c r="KI18" s="13">
        <f t="shared" si="34"/>
        <v>0</v>
      </c>
      <c r="KJ18" s="20">
        <f t="shared" si="151"/>
        <v>-5.8164758109267023E-2</v>
      </c>
      <c r="KK18" s="15">
        <v>1979.48</v>
      </c>
      <c r="KL18" s="4">
        <v>0</v>
      </c>
      <c r="KM18" s="13">
        <v>1952.14</v>
      </c>
      <c r="KN18" s="13">
        <f t="shared" si="35"/>
        <v>0</v>
      </c>
      <c r="KO18" s="20">
        <f t="shared" si="152"/>
        <v>-1.3811708125366251E-2</v>
      </c>
      <c r="KP18" s="15">
        <v>1183.93</v>
      </c>
      <c r="KQ18" s="4">
        <v>0</v>
      </c>
      <c r="KR18" s="13">
        <v>1115.07</v>
      </c>
      <c r="KS18" s="13">
        <f t="shared" si="36"/>
        <v>0</v>
      </c>
      <c r="KT18" s="20">
        <f t="shared" si="153"/>
        <v>-5.8162222428690957E-2</v>
      </c>
      <c r="KU18" s="13">
        <v>1508.05</v>
      </c>
      <c r="KV18" s="4">
        <v>0</v>
      </c>
      <c r="KW18" s="13">
        <v>1420.33</v>
      </c>
      <c r="KX18" s="13">
        <f t="shared" si="37"/>
        <v>0</v>
      </c>
      <c r="KY18" s="20">
        <f t="shared" si="154"/>
        <v>-5.8167832631544014E-2</v>
      </c>
      <c r="KZ18" s="15">
        <v>1116.03</v>
      </c>
      <c r="LA18" s="4">
        <v>0</v>
      </c>
      <c r="LB18" s="13">
        <v>1051.1099999999999</v>
      </c>
      <c r="LC18" s="13">
        <f t="shared" si="38"/>
        <v>0</v>
      </c>
      <c r="LD18" s="20">
        <f t="shared" si="155"/>
        <v>-5.817047928819119E-2</v>
      </c>
      <c r="LE18" s="13">
        <v>1118.3399999999999</v>
      </c>
      <c r="LF18" s="4">
        <v>1</v>
      </c>
      <c r="LG18" s="13">
        <v>1006.63</v>
      </c>
      <c r="LH18" s="13">
        <f t="shared" si="39"/>
        <v>1006.63</v>
      </c>
      <c r="LI18" s="20">
        <f t="shared" si="156"/>
        <v>-9.9889121376325551E-2</v>
      </c>
      <c r="LJ18" s="13">
        <v>1118.3399999999999</v>
      </c>
      <c r="LK18" s="4">
        <v>0</v>
      </c>
      <c r="LL18" s="13">
        <v>1053.28</v>
      </c>
      <c r="LM18" s="13">
        <f t="shared" si="40"/>
        <v>0</v>
      </c>
      <c r="LN18" s="20">
        <f t="shared" si="157"/>
        <v>-5.8175510131087127E-2</v>
      </c>
      <c r="LO18" s="15">
        <v>2275.6</v>
      </c>
      <c r="LP18" s="4">
        <v>0</v>
      </c>
      <c r="LQ18" s="13">
        <v>2163.5100000000002</v>
      </c>
      <c r="LR18" s="13">
        <f t="shared" si="41"/>
        <v>0</v>
      </c>
      <c r="LS18" s="20">
        <f t="shared" si="158"/>
        <v>-4.9257338723852961E-2</v>
      </c>
      <c r="LU18" s="3" t="s">
        <v>6</v>
      </c>
      <c r="LV18" s="13">
        <v>9008.61</v>
      </c>
      <c r="LW18" s="4">
        <v>0</v>
      </c>
      <c r="LX18" s="13">
        <v>8666.58</v>
      </c>
      <c r="LY18" s="13">
        <f t="shared" si="42"/>
        <v>0</v>
      </c>
      <c r="LZ18" s="12">
        <f t="shared" si="159"/>
        <v>-3.7967011558941999E-2</v>
      </c>
      <c r="MA18" s="13">
        <v>4803.3900000000003</v>
      </c>
      <c r="MB18" s="4">
        <v>1</v>
      </c>
      <c r="MC18" s="13">
        <v>4323.22</v>
      </c>
      <c r="MD18" s="13">
        <f t="shared" si="43"/>
        <v>4323.22</v>
      </c>
      <c r="ME18" s="12">
        <f t="shared" si="160"/>
        <v>-9.9964816515002997E-2</v>
      </c>
      <c r="MF18" s="13">
        <v>5865.91</v>
      </c>
      <c r="MG18" s="4">
        <v>1</v>
      </c>
      <c r="MH18" s="13">
        <v>5746.82</v>
      </c>
      <c r="MI18" s="13">
        <f t="shared" si="44"/>
        <v>5746.82</v>
      </c>
      <c r="MJ18" s="12">
        <f t="shared" si="161"/>
        <v>-2.0302050321263088E-2</v>
      </c>
      <c r="MK18" s="15">
        <v>4829.08</v>
      </c>
      <c r="ML18" s="4">
        <v>0</v>
      </c>
      <c r="MM18" s="13">
        <v>4603.29</v>
      </c>
      <c r="MN18" s="13">
        <f t="shared" si="45"/>
        <v>0</v>
      </c>
      <c r="MO18" s="12">
        <f t="shared" si="162"/>
        <v>-4.6756317973609907E-2</v>
      </c>
      <c r="MP18" s="13">
        <v>4646.0200000000004</v>
      </c>
      <c r="MQ18" s="4">
        <v>1</v>
      </c>
      <c r="MR18" s="13">
        <v>4469.6099999999997</v>
      </c>
      <c r="MS18" s="13">
        <f t="shared" si="46"/>
        <v>4469.6099999999997</v>
      </c>
      <c r="MT18" s="12">
        <f t="shared" si="163"/>
        <v>-3.7970133576695875E-2</v>
      </c>
      <c r="MU18" s="13">
        <v>4246.05</v>
      </c>
      <c r="MV18" s="4">
        <v>4</v>
      </c>
      <c r="MW18" s="13">
        <v>4246.3999999999996</v>
      </c>
      <c r="MX18" s="13">
        <f t="shared" si="47"/>
        <v>16985.599999999999</v>
      </c>
      <c r="MY18" s="12">
        <f t="shared" si="164"/>
        <v>8.2429552171969789E-5</v>
      </c>
      <c r="MZ18" s="13">
        <v>4246.05</v>
      </c>
      <c r="NA18" s="4">
        <v>0</v>
      </c>
      <c r="NB18" s="13">
        <v>3821.6</v>
      </c>
      <c r="NC18" s="13">
        <f t="shared" si="48"/>
        <v>0</v>
      </c>
      <c r="ND18" s="12">
        <f t="shared" si="165"/>
        <v>-9.9963495484038156E-2</v>
      </c>
      <c r="NE18" s="13">
        <v>4246.05</v>
      </c>
      <c r="NF18" s="4">
        <v>3</v>
      </c>
      <c r="NG18" s="13">
        <v>4047.51</v>
      </c>
      <c r="NH18" s="13">
        <f t="shared" si="49"/>
        <v>12142.53</v>
      </c>
      <c r="NI18" s="12">
        <f t="shared" si="166"/>
        <v>-4.6758752252093139E-2</v>
      </c>
      <c r="NJ18" s="13">
        <v>4885.13</v>
      </c>
      <c r="NK18" s="4">
        <v>2</v>
      </c>
      <c r="NL18" s="13">
        <v>4570.43</v>
      </c>
      <c r="NM18" s="13">
        <f t="shared" si="50"/>
        <v>9140.86</v>
      </c>
      <c r="NN18" s="12">
        <f t="shared" si="167"/>
        <v>-6.4419984729167878E-2</v>
      </c>
      <c r="NO18" s="13">
        <v>4007.72</v>
      </c>
      <c r="NP18" s="4">
        <v>0</v>
      </c>
      <c r="NQ18" s="13">
        <v>3820.33</v>
      </c>
      <c r="NR18" s="13">
        <f t="shared" si="51"/>
        <v>0</v>
      </c>
      <c r="NS18" s="12">
        <f t="shared" si="168"/>
        <v>-4.6757258491112119E-2</v>
      </c>
      <c r="NT18" s="13">
        <v>4551.37</v>
      </c>
      <c r="NU18" s="4">
        <v>1</v>
      </c>
      <c r="NV18" s="13">
        <v>4338.57</v>
      </c>
      <c r="NW18" s="13">
        <f t="shared" si="52"/>
        <v>4338.57</v>
      </c>
      <c r="NX18" s="12">
        <f t="shared" si="169"/>
        <v>-4.675515284408871E-2</v>
      </c>
      <c r="NY18" s="13">
        <v>3563.86</v>
      </c>
      <c r="NZ18" s="4">
        <v>0</v>
      </c>
      <c r="OA18" s="13">
        <v>3334.26</v>
      </c>
      <c r="OB18" s="13">
        <f t="shared" si="53"/>
        <v>0</v>
      </c>
      <c r="OC18" s="12">
        <f t="shared" si="170"/>
        <v>-6.4424528460713892E-2</v>
      </c>
      <c r="OD18" s="15">
        <v>6554.6</v>
      </c>
      <c r="OE18" s="4">
        <v>0</v>
      </c>
      <c r="OF18" s="13">
        <v>6421.53</v>
      </c>
      <c r="OG18" s="13">
        <f t="shared" si="54"/>
        <v>0</v>
      </c>
      <c r="OH18" s="12">
        <f t="shared" si="171"/>
        <v>-2.030177280078127E-2</v>
      </c>
      <c r="OI18" s="15">
        <v>3513.34</v>
      </c>
      <c r="OJ18" s="4">
        <v>0</v>
      </c>
      <c r="OK18" s="13">
        <v>3287</v>
      </c>
      <c r="OL18" s="13">
        <f t="shared" si="55"/>
        <v>0</v>
      </c>
      <c r="OM18" s="12">
        <f t="shared" si="172"/>
        <v>-6.4423027660289067E-2</v>
      </c>
      <c r="ON18" s="13">
        <v>4466.32</v>
      </c>
      <c r="OO18" s="4">
        <v>0</v>
      </c>
      <c r="OP18" s="13">
        <v>4178.58</v>
      </c>
      <c r="OQ18" s="13">
        <f t="shared" si="56"/>
        <v>0</v>
      </c>
      <c r="OR18" s="12">
        <f t="shared" si="173"/>
        <v>-6.4424403088000792E-2</v>
      </c>
      <c r="OS18" s="13">
        <v>3311.52</v>
      </c>
      <c r="OT18" s="4">
        <v>2</v>
      </c>
      <c r="OU18" s="13">
        <v>3098.19</v>
      </c>
      <c r="OV18" s="13">
        <f t="shared" si="57"/>
        <v>6196.38</v>
      </c>
      <c r="OW18" s="12">
        <f t="shared" si="174"/>
        <v>-6.4420568198289563E-2</v>
      </c>
      <c r="OX18" s="13">
        <v>3351.79</v>
      </c>
      <c r="OY18" s="4">
        <v>0</v>
      </c>
      <c r="OZ18" s="13">
        <v>3016.74</v>
      </c>
      <c r="PA18" s="13">
        <f t="shared" si="58"/>
        <v>0</v>
      </c>
      <c r="PB18" s="12">
        <f t="shared" si="175"/>
        <v>-9.9961513101954558E-2</v>
      </c>
      <c r="PC18" s="13">
        <v>3351.79</v>
      </c>
      <c r="PD18" s="4">
        <v>0</v>
      </c>
      <c r="PE18" s="13">
        <v>3195.08</v>
      </c>
      <c r="PF18" s="13">
        <f t="shared" si="59"/>
        <v>0</v>
      </c>
      <c r="PG18" s="12">
        <f t="shared" si="176"/>
        <v>-4.6754122424137567E-2</v>
      </c>
      <c r="PH18" s="13">
        <v>6753.59</v>
      </c>
      <c r="PI18" s="4">
        <v>0</v>
      </c>
      <c r="PJ18" s="13">
        <v>6497.18</v>
      </c>
      <c r="PK18" s="13">
        <f t="shared" si="60"/>
        <v>0</v>
      </c>
      <c r="PL18" s="12">
        <f t="shared" si="177"/>
        <v>-3.7966474127093863E-2</v>
      </c>
      <c r="PN18" s="3" t="s">
        <v>6</v>
      </c>
      <c r="PO18" s="15">
        <v>8452.51</v>
      </c>
      <c r="PP18" s="4"/>
      <c r="PQ18" s="13"/>
      <c r="PR18" s="13">
        <f t="shared" si="61"/>
        <v>0</v>
      </c>
      <c r="PS18" s="12">
        <f t="shared" si="178"/>
        <v>-1</v>
      </c>
      <c r="PT18" s="13">
        <v>4506.88</v>
      </c>
      <c r="PU18" s="4">
        <v>0</v>
      </c>
      <c r="PV18" s="13"/>
      <c r="PW18" s="13">
        <f t="shared" si="62"/>
        <v>0</v>
      </c>
      <c r="PX18" s="12">
        <f t="shared" si="179"/>
        <v>-1</v>
      </c>
      <c r="PY18" s="13">
        <v>5503.81</v>
      </c>
      <c r="PZ18" s="4">
        <v>0</v>
      </c>
      <c r="QA18" s="13"/>
      <c r="QB18" s="13">
        <f t="shared" si="63"/>
        <v>0</v>
      </c>
      <c r="QC18" s="12">
        <f t="shared" si="180"/>
        <v>-1</v>
      </c>
      <c r="QD18" s="15">
        <v>4530.9799999999996</v>
      </c>
      <c r="QE18" s="4"/>
      <c r="QF18" s="13"/>
      <c r="QG18" s="13">
        <f t="shared" si="64"/>
        <v>0</v>
      </c>
      <c r="QH18" s="12">
        <f t="shared" si="181"/>
        <v>-1</v>
      </c>
      <c r="QI18" s="15">
        <v>4359.22</v>
      </c>
      <c r="QJ18" s="4"/>
      <c r="QK18" s="13"/>
      <c r="QL18" s="13">
        <f t="shared" si="65"/>
        <v>0</v>
      </c>
      <c r="QM18" s="12">
        <f t="shared" si="182"/>
        <v>-1</v>
      </c>
      <c r="QN18" s="15">
        <v>3983.94</v>
      </c>
      <c r="QO18" s="4"/>
      <c r="QP18" s="13"/>
      <c r="QQ18" s="13">
        <f t="shared" si="66"/>
        <v>0</v>
      </c>
      <c r="QR18" s="12">
        <f t="shared" si="183"/>
        <v>-1</v>
      </c>
      <c r="QS18" s="15">
        <v>4583.57</v>
      </c>
      <c r="QT18" s="4"/>
      <c r="QU18" s="13"/>
      <c r="QV18" s="13">
        <f t="shared" si="67"/>
        <v>0</v>
      </c>
      <c r="QW18" s="12">
        <f t="shared" si="184"/>
        <v>-1</v>
      </c>
      <c r="QX18" s="15">
        <v>3760.33</v>
      </c>
      <c r="QY18" s="4"/>
      <c r="QZ18" s="13"/>
      <c r="RA18" s="13">
        <f t="shared" si="68"/>
        <v>0</v>
      </c>
      <c r="RB18" s="12">
        <f t="shared" si="185"/>
        <v>-1</v>
      </c>
      <c r="RC18" s="15">
        <v>4270.42</v>
      </c>
      <c r="RD18" s="4"/>
      <c r="RE18" s="13"/>
      <c r="RF18" s="13">
        <f t="shared" si="69"/>
        <v>0</v>
      </c>
      <c r="RG18" s="12">
        <f t="shared" si="186"/>
        <v>-1</v>
      </c>
      <c r="RH18" s="15">
        <v>3343.86</v>
      </c>
      <c r="RI18" s="4"/>
      <c r="RJ18" s="13"/>
      <c r="RK18" s="13">
        <f t="shared" si="70"/>
        <v>0</v>
      </c>
      <c r="RL18" s="12">
        <f t="shared" si="187"/>
        <v>-1</v>
      </c>
      <c r="RM18" s="15">
        <v>6149.99</v>
      </c>
      <c r="RN18" s="4"/>
      <c r="RO18" s="13"/>
      <c r="RP18" s="13">
        <f t="shared" si="71"/>
        <v>0</v>
      </c>
      <c r="RQ18" s="12">
        <f t="shared" si="188"/>
        <v>-1</v>
      </c>
      <c r="RR18" s="15">
        <v>3296.47</v>
      </c>
      <c r="RS18" s="4"/>
      <c r="RT18" s="13"/>
      <c r="RU18" s="13">
        <f t="shared" si="72"/>
        <v>0</v>
      </c>
      <c r="RV18" s="12">
        <f t="shared" si="189"/>
        <v>-1</v>
      </c>
      <c r="RW18" s="15">
        <v>4190.6099999999997</v>
      </c>
      <c r="RX18" s="4"/>
      <c r="RY18" s="13"/>
      <c r="RZ18" s="13">
        <f t="shared" si="73"/>
        <v>0</v>
      </c>
      <c r="SA18" s="12">
        <f t="shared" si="190"/>
        <v>-1</v>
      </c>
      <c r="SB18" s="15">
        <v>3107.1</v>
      </c>
      <c r="SC18" s="4"/>
      <c r="SD18" s="13"/>
      <c r="SE18" s="13">
        <f t="shared" si="74"/>
        <v>0</v>
      </c>
      <c r="SF18" s="12">
        <f t="shared" si="191"/>
        <v>-1</v>
      </c>
      <c r="SG18" s="15">
        <v>3144.89</v>
      </c>
      <c r="SH18" s="4"/>
      <c r="SI18" s="13"/>
      <c r="SJ18" s="13">
        <f t="shared" si="75"/>
        <v>0</v>
      </c>
      <c r="SK18" s="12">
        <f t="shared" si="192"/>
        <v>-1</v>
      </c>
      <c r="SL18" s="15">
        <v>6336.69</v>
      </c>
      <c r="SM18" s="4"/>
      <c r="SN18" s="13"/>
      <c r="SO18" s="13">
        <f t="shared" si="76"/>
        <v>0</v>
      </c>
      <c r="SP18" s="12">
        <f t="shared" si="193"/>
        <v>-1</v>
      </c>
    </row>
    <row r="19" spans="1:510" x14ac:dyDescent="0.25">
      <c r="A19" s="3" t="s">
        <v>7</v>
      </c>
      <c r="B19" s="13">
        <v>7892.34</v>
      </c>
      <c r="C19" s="4">
        <v>0</v>
      </c>
      <c r="D19" s="13">
        <v>7103.09</v>
      </c>
      <c r="E19" s="13">
        <f t="shared" si="77"/>
        <v>0</v>
      </c>
      <c r="F19" s="20">
        <f t="shared" si="78"/>
        <v>-0.10000202728214957</v>
      </c>
      <c r="H19" s="3" t="s">
        <v>7</v>
      </c>
      <c r="I19" s="13">
        <v>2462.94</v>
      </c>
      <c r="J19" s="4">
        <v>0</v>
      </c>
      <c r="K19" s="13">
        <v>2216.7399999999998</v>
      </c>
      <c r="L19" s="13">
        <f t="shared" si="0"/>
        <v>0</v>
      </c>
      <c r="M19" s="20">
        <f t="shared" si="79"/>
        <v>-9.9961834230635094E-2</v>
      </c>
      <c r="O19" s="3" t="s">
        <v>7</v>
      </c>
      <c r="P19" s="13">
        <v>7327.37</v>
      </c>
      <c r="Q19" s="4">
        <v>4</v>
      </c>
      <c r="R19" s="13">
        <v>6594.61</v>
      </c>
      <c r="S19" s="13">
        <f t="shared" si="1"/>
        <v>26378.44</v>
      </c>
      <c r="T19" s="20">
        <f t="shared" si="80"/>
        <v>-0.10000313891614598</v>
      </c>
      <c r="V19" s="3" t="s">
        <v>7</v>
      </c>
      <c r="W19" s="15">
        <v>8047.04</v>
      </c>
      <c r="X19" s="4">
        <v>0</v>
      </c>
      <c r="Y19" s="13">
        <v>7567.31</v>
      </c>
      <c r="Z19" s="13">
        <f t="shared" si="2"/>
        <v>0</v>
      </c>
      <c r="AA19" s="12">
        <f t="shared" si="81"/>
        <v>-5.9615709627390934E-2</v>
      </c>
      <c r="AB19" s="15">
        <v>6978.28</v>
      </c>
      <c r="AC19" s="4">
        <v>0</v>
      </c>
      <c r="AD19" s="13">
        <v>6622.75</v>
      </c>
      <c r="AE19" s="13">
        <f t="shared" si="3"/>
        <v>0</v>
      </c>
      <c r="AF19" s="12">
        <f t="shared" si="82"/>
        <v>-5.0948084628303802E-2</v>
      </c>
      <c r="AG19" s="33">
        <v>6512.85</v>
      </c>
      <c r="AH19" s="4">
        <v>0</v>
      </c>
      <c r="AI19" s="13">
        <v>6187.34</v>
      </c>
      <c r="AJ19" s="13">
        <f t="shared" si="4"/>
        <v>0</v>
      </c>
      <c r="AK19" s="12">
        <f t="shared" si="83"/>
        <v>-4.997965560392148E-2</v>
      </c>
      <c r="AL19" s="15">
        <v>5854.08</v>
      </c>
      <c r="AM19" s="4">
        <v>0</v>
      </c>
      <c r="AN19" s="13">
        <v>5403.06</v>
      </c>
      <c r="AO19" s="13">
        <f t="shared" si="5"/>
        <v>0</v>
      </c>
      <c r="AP19" s="12">
        <f t="shared" si="84"/>
        <v>-7.7043702853394458E-2</v>
      </c>
      <c r="AQ19" s="15">
        <v>5778.14</v>
      </c>
      <c r="AR19" s="4">
        <v>0</v>
      </c>
      <c r="AS19" s="13">
        <v>5332.97</v>
      </c>
      <c r="AT19" s="13">
        <f t="shared" si="6"/>
        <v>0</v>
      </c>
      <c r="AU19" s="12">
        <f t="shared" si="85"/>
        <v>-7.7043823791046906E-2</v>
      </c>
      <c r="AV19" s="33">
        <v>5381.37</v>
      </c>
      <c r="AW19" s="4">
        <v>0</v>
      </c>
      <c r="AX19" s="13">
        <v>5017.67</v>
      </c>
      <c r="AY19" s="13">
        <f t="shared" si="7"/>
        <v>0</v>
      </c>
      <c r="AZ19" s="12">
        <f t="shared" si="86"/>
        <v>-6.75850201714433E-2</v>
      </c>
      <c r="BB19" s="3" t="s">
        <v>7</v>
      </c>
      <c r="BC19" s="15">
        <v>2462.94</v>
      </c>
      <c r="BD19" s="4">
        <v>0</v>
      </c>
      <c r="BE19" s="13">
        <v>2339.91</v>
      </c>
      <c r="BF19" s="13">
        <f t="shared" si="8"/>
        <v>0</v>
      </c>
      <c r="BG19" s="12">
        <f t="shared" si="87"/>
        <v>-4.9952495797705221E-2</v>
      </c>
      <c r="BH19" s="15">
        <v>2201.2800000000002</v>
      </c>
      <c r="BI19" s="4">
        <v>0</v>
      </c>
      <c r="BJ19" s="13">
        <v>2130.67</v>
      </c>
      <c r="BK19" s="13">
        <f t="shared" si="9"/>
        <v>0</v>
      </c>
      <c r="BL19" s="12">
        <f t="shared" si="88"/>
        <v>-3.2076791684838013E-2</v>
      </c>
      <c r="BM19" s="13">
        <v>2059.5100000000002</v>
      </c>
      <c r="BN19" s="4">
        <v>0</v>
      </c>
      <c r="BO19" s="13">
        <v>1956.63</v>
      </c>
      <c r="BP19" s="13">
        <f t="shared" si="10"/>
        <v>0</v>
      </c>
      <c r="BQ19" s="12">
        <f t="shared" si="89"/>
        <v>-4.9953629746881556E-2</v>
      </c>
      <c r="BR19" s="13">
        <v>1831.84</v>
      </c>
      <c r="BS19" s="4">
        <v>0</v>
      </c>
      <c r="BT19" s="13">
        <v>1740.33</v>
      </c>
      <c r="BU19" s="13">
        <f t="shared" si="11"/>
        <v>0</v>
      </c>
      <c r="BV19" s="12">
        <f t="shared" si="90"/>
        <v>-4.9955236265175951E-2</v>
      </c>
      <c r="BW19" s="15">
        <v>1823.45</v>
      </c>
      <c r="BX19" s="4">
        <v>0</v>
      </c>
      <c r="BY19" s="13">
        <v>1732.36</v>
      </c>
      <c r="BZ19" s="13">
        <f t="shared" si="12"/>
        <v>0</v>
      </c>
      <c r="CA19" s="12">
        <f t="shared" si="91"/>
        <v>-4.9954756094217068E-2</v>
      </c>
      <c r="CB19" s="15">
        <v>1718.86</v>
      </c>
      <c r="CC19" s="4">
        <v>0</v>
      </c>
      <c r="CD19" s="13">
        <v>1632.99</v>
      </c>
      <c r="CE19" s="13">
        <f t="shared" si="13"/>
        <v>0</v>
      </c>
      <c r="CF19" s="12">
        <f t="shared" si="92"/>
        <v>-4.9957529990807825E-2</v>
      </c>
      <c r="CH19" s="3" t="s">
        <v>7</v>
      </c>
      <c r="CI19" s="13">
        <v>7413.55</v>
      </c>
      <c r="CJ19" s="4">
        <v>1</v>
      </c>
      <c r="CK19" s="13">
        <v>7074.06</v>
      </c>
      <c r="CL19" s="13">
        <f t="shared" si="14"/>
        <v>7074.06</v>
      </c>
      <c r="CM19" s="12">
        <f t="shared" si="93"/>
        <v>-4.5793176008794623E-2</v>
      </c>
      <c r="CN19" s="15">
        <v>6518.48</v>
      </c>
      <c r="CO19" s="4">
        <v>0</v>
      </c>
      <c r="CP19" s="13">
        <v>6219.99</v>
      </c>
      <c r="CQ19" s="13">
        <f t="shared" si="15"/>
        <v>0</v>
      </c>
      <c r="CR19" s="12">
        <f t="shared" si="94"/>
        <v>-4.5791350130705233E-2</v>
      </c>
      <c r="CS19" s="13">
        <v>6152.61</v>
      </c>
      <c r="CT19" s="4">
        <v>3</v>
      </c>
      <c r="CU19" s="13">
        <v>5870.87</v>
      </c>
      <c r="CV19" s="13">
        <f t="shared" si="16"/>
        <v>17612.61</v>
      </c>
      <c r="CW19" s="12">
        <f t="shared" si="95"/>
        <v>-4.5791948457646448E-2</v>
      </c>
      <c r="CX19" s="13">
        <v>5471.19</v>
      </c>
      <c r="CY19" s="4">
        <v>1</v>
      </c>
      <c r="CZ19" s="13">
        <v>5123.8999999999996</v>
      </c>
      <c r="DA19" s="13">
        <f t="shared" si="17"/>
        <v>5123.8999999999996</v>
      </c>
      <c r="DB19" s="12">
        <f t="shared" si="96"/>
        <v>-6.3476135904620423E-2</v>
      </c>
      <c r="DC19" s="15">
        <v>5393.64</v>
      </c>
      <c r="DD19" s="4">
        <v>0</v>
      </c>
      <c r="DE19" s="13">
        <v>5051.2700000000004</v>
      </c>
      <c r="DF19" s="13">
        <f t="shared" si="18"/>
        <v>0</v>
      </c>
      <c r="DG19" s="12">
        <f t="shared" si="97"/>
        <v>-6.347661319628306E-2</v>
      </c>
      <c r="DH19" s="13">
        <v>5083.82</v>
      </c>
      <c r="DI19" s="4">
        <v>0</v>
      </c>
      <c r="DJ19" s="13">
        <v>4761.12</v>
      </c>
      <c r="DK19" s="13">
        <f t="shared" si="19"/>
        <v>0</v>
      </c>
      <c r="DL19" s="12">
        <f t="shared" si="98"/>
        <v>-6.3475890177071559E-2</v>
      </c>
      <c r="DN19" s="3" t="s">
        <v>7</v>
      </c>
      <c r="DO19" s="13">
        <v>13653.97</v>
      </c>
      <c r="DP19" s="4">
        <v>2</v>
      </c>
      <c r="DQ19" s="13">
        <v>13655.58</v>
      </c>
      <c r="DR19" s="13">
        <f t="shared" si="20"/>
        <v>27311.16</v>
      </c>
      <c r="DS19" s="20">
        <f t="shared" si="99"/>
        <v>1.1791442342423686E-4</v>
      </c>
      <c r="DU19" s="3" t="s">
        <v>7</v>
      </c>
      <c r="DV19" s="13">
        <v>10880.22</v>
      </c>
      <c r="DW19" s="4">
        <v>0</v>
      </c>
      <c r="DX19" s="13">
        <v>10881.51</v>
      </c>
      <c r="DY19" s="13">
        <f t="shared" si="21"/>
        <v>0</v>
      </c>
      <c r="DZ19" s="20">
        <f t="shared" si="100"/>
        <v>1.1856377904129189E-4</v>
      </c>
      <c r="EB19" s="3" t="s">
        <v>7</v>
      </c>
      <c r="EC19" s="13">
        <v>10880.22</v>
      </c>
      <c r="ED19" s="4">
        <v>1</v>
      </c>
      <c r="EE19" s="13">
        <v>10881.51</v>
      </c>
      <c r="EF19" s="13">
        <f t="shared" si="22"/>
        <v>10881.51</v>
      </c>
      <c r="EG19" s="20">
        <f t="shared" si="101"/>
        <v>1.1856377904129189E-4</v>
      </c>
      <c r="EI19" s="3" t="s">
        <v>7</v>
      </c>
      <c r="EJ19" s="13">
        <v>13308.74</v>
      </c>
      <c r="EK19" s="4">
        <v>1</v>
      </c>
      <c r="EL19" s="13">
        <v>12793.25</v>
      </c>
      <c r="EM19" s="13">
        <f t="shared" si="102"/>
        <v>12793.25</v>
      </c>
      <c r="EN19" s="20">
        <f t="shared" si="103"/>
        <v>-3.8733193375180552E-2</v>
      </c>
      <c r="EO19" s="13">
        <v>6847.42</v>
      </c>
      <c r="EP19" s="4">
        <v>0</v>
      </c>
      <c r="EQ19" s="13">
        <v>6162.69</v>
      </c>
      <c r="ER19" s="13">
        <f t="shared" si="104"/>
        <v>0</v>
      </c>
      <c r="ES19" s="20">
        <f t="shared" si="105"/>
        <v>-9.999824751512254E-2</v>
      </c>
      <c r="ET19" s="13">
        <v>8942.07</v>
      </c>
      <c r="EU19" s="4">
        <v>0</v>
      </c>
      <c r="EV19" s="13">
        <v>8829.93</v>
      </c>
      <c r="EW19" s="13">
        <f t="shared" si="106"/>
        <v>0</v>
      </c>
      <c r="EX19" s="20">
        <f t="shared" si="107"/>
        <v>-1.2540720437214103E-2</v>
      </c>
      <c r="EY19" s="15">
        <v>6979.15</v>
      </c>
      <c r="EZ19" s="4">
        <v>0</v>
      </c>
      <c r="FA19" s="13">
        <v>6587.35</v>
      </c>
      <c r="FB19" s="13">
        <f t="shared" si="108"/>
        <v>0</v>
      </c>
      <c r="FC19" s="20">
        <f t="shared" si="109"/>
        <v>-5.6138641525113941E-2</v>
      </c>
      <c r="FD19" s="15">
        <v>6306.93</v>
      </c>
      <c r="FE19" s="4">
        <v>0</v>
      </c>
      <c r="FF19" s="13">
        <v>6007.75</v>
      </c>
      <c r="FG19" s="13">
        <f t="shared" si="110"/>
        <v>0</v>
      </c>
      <c r="FH19" s="20">
        <f t="shared" si="111"/>
        <v>-4.7436708509528414E-2</v>
      </c>
      <c r="FI19" s="13">
        <v>6052.22</v>
      </c>
      <c r="FJ19" s="4">
        <v>0</v>
      </c>
      <c r="FK19" s="13">
        <v>6052.45</v>
      </c>
      <c r="FL19" s="13">
        <f t="shared" si="112"/>
        <v>0</v>
      </c>
      <c r="FM19" s="20">
        <f t="shared" si="113"/>
        <v>3.8002584175744758E-5</v>
      </c>
      <c r="FN19" s="13">
        <v>6052.22</v>
      </c>
      <c r="FO19" s="4">
        <v>0</v>
      </c>
      <c r="FP19" s="13">
        <v>5447.51</v>
      </c>
      <c r="FQ19" s="13">
        <f t="shared" si="114"/>
        <v>0</v>
      </c>
      <c r="FR19" s="20">
        <f t="shared" si="115"/>
        <v>-9.9915402943052345E-2</v>
      </c>
      <c r="FS19" s="13">
        <v>6052.22</v>
      </c>
      <c r="FT19" s="4">
        <v>0</v>
      </c>
      <c r="FU19" s="13">
        <v>5765.12</v>
      </c>
      <c r="FV19" s="13">
        <f t="shared" si="116"/>
        <v>0</v>
      </c>
      <c r="FW19" s="20">
        <f t="shared" si="117"/>
        <v>-4.7437138768914644E-2</v>
      </c>
      <c r="FX19" s="15">
        <v>6917.75</v>
      </c>
      <c r="FY19" s="4">
        <v>0</v>
      </c>
      <c r="FZ19" s="13">
        <v>6408.41</v>
      </c>
      <c r="GA19" s="13">
        <f t="shared" si="118"/>
        <v>0</v>
      </c>
      <c r="GB19" s="20">
        <f t="shared" si="119"/>
        <v>-7.362798597809983E-2</v>
      </c>
      <c r="GC19" s="13">
        <v>5706.45</v>
      </c>
      <c r="GD19" s="4">
        <v>0</v>
      </c>
      <c r="GE19" s="13">
        <v>5386.1</v>
      </c>
      <c r="GF19" s="13">
        <f t="shared" si="120"/>
        <v>0</v>
      </c>
      <c r="GG19" s="20">
        <f t="shared" si="121"/>
        <v>-5.6138229547266549E-2</v>
      </c>
      <c r="GH19" s="15">
        <v>6446.72</v>
      </c>
      <c r="GI19" s="4">
        <v>0</v>
      </c>
      <c r="GJ19" s="13">
        <v>6084.81</v>
      </c>
      <c r="GK19" s="13">
        <f t="shared" si="122"/>
        <v>0</v>
      </c>
      <c r="GL19" s="20">
        <f t="shared" si="123"/>
        <v>-5.6138625533604714E-2</v>
      </c>
      <c r="GM19" s="15">
        <v>5077.2</v>
      </c>
      <c r="GN19" s="4">
        <v>0</v>
      </c>
      <c r="GO19" s="13">
        <v>4703.3599999999997</v>
      </c>
      <c r="GP19" s="13">
        <f t="shared" si="124"/>
        <v>0</v>
      </c>
      <c r="GQ19" s="20">
        <f t="shared" si="125"/>
        <v>-7.363113527140952E-2</v>
      </c>
      <c r="GR19" s="13">
        <v>11036.92</v>
      </c>
      <c r="GS19" s="4">
        <v>0</v>
      </c>
      <c r="GT19" s="13">
        <v>10706.43</v>
      </c>
      <c r="GU19" s="13">
        <f t="shared" si="126"/>
        <v>0</v>
      </c>
      <c r="GV19" s="20">
        <f t="shared" si="127"/>
        <v>-2.9944042359643763E-2</v>
      </c>
      <c r="GW19" s="15">
        <v>5011.34</v>
      </c>
      <c r="GX19" s="4">
        <v>0</v>
      </c>
      <c r="GY19" s="13">
        <v>4642.3599999999997</v>
      </c>
      <c r="GZ19" s="13">
        <f t="shared" si="128"/>
        <v>0</v>
      </c>
      <c r="HA19" s="20">
        <f t="shared" si="129"/>
        <v>-7.3629009406665724E-2</v>
      </c>
      <c r="HB19" s="15">
        <v>6652.35</v>
      </c>
      <c r="HC19" s="4">
        <v>0</v>
      </c>
      <c r="HD19" s="13">
        <v>6162.54</v>
      </c>
      <c r="HE19" s="13">
        <f t="shared" si="130"/>
        <v>0</v>
      </c>
      <c r="HF19" s="20">
        <f t="shared" si="131"/>
        <v>-7.3629619608108432E-2</v>
      </c>
      <c r="HG19" s="15">
        <v>4715.0600000000004</v>
      </c>
      <c r="HH19" s="4">
        <v>0</v>
      </c>
      <c r="HI19" s="13">
        <v>4367.8999999999996</v>
      </c>
      <c r="HJ19" s="13">
        <f t="shared" si="132"/>
        <v>0</v>
      </c>
      <c r="HK19" s="20">
        <f t="shared" si="133"/>
        <v>-7.3627907174034002E-2</v>
      </c>
      <c r="HL19" s="13">
        <v>4769.76</v>
      </c>
      <c r="HM19" s="4">
        <v>0</v>
      </c>
      <c r="HN19" s="13">
        <v>4292.9799999999996</v>
      </c>
      <c r="HO19" s="13">
        <f t="shared" si="134"/>
        <v>0</v>
      </c>
      <c r="HP19" s="20">
        <f t="shared" si="135"/>
        <v>-9.9958907785716811E-2</v>
      </c>
      <c r="HQ19" s="13">
        <v>4769.76</v>
      </c>
      <c r="HR19" s="4">
        <v>1</v>
      </c>
      <c r="HS19" s="13">
        <v>4418.5600000000004</v>
      </c>
      <c r="HT19" s="13">
        <f t="shared" si="136"/>
        <v>4418.5600000000004</v>
      </c>
      <c r="HU19" s="20">
        <f t="shared" si="137"/>
        <v>-7.3630539062762068E-2</v>
      </c>
      <c r="HV19" s="13">
        <v>11990.44</v>
      </c>
      <c r="HW19" s="4">
        <v>0</v>
      </c>
      <c r="HX19" s="13">
        <v>11840.1</v>
      </c>
      <c r="HY19" s="13">
        <f t="shared" si="138"/>
        <v>0</v>
      </c>
      <c r="HZ19" s="20">
        <f t="shared" si="139"/>
        <v>-1.2538322196683382E-2</v>
      </c>
      <c r="IB19" s="3" t="s">
        <v>7</v>
      </c>
      <c r="IC19" s="15">
        <v>4026.67</v>
      </c>
      <c r="ID19" s="4">
        <v>0</v>
      </c>
      <c r="IE19" s="13">
        <v>3863.82</v>
      </c>
      <c r="IF19" s="13">
        <f t="shared" si="23"/>
        <v>0</v>
      </c>
      <c r="IG19" s="20">
        <f t="shared" si="140"/>
        <v>-4.0442847315523722E-2</v>
      </c>
      <c r="IH19" s="13">
        <v>2130.5</v>
      </c>
      <c r="II19" s="4">
        <v>0</v>
      </c>
      <c r="IJ19" s="13">
        <v>1917.44</v>
      </c>
      <c r="IK19" s="13">
        <f t="shared" si="24"/>
        <v>0</v>
      </c>
      <c r="IL19" s="20">
        <f t="shared" si="141"/>
        <v>-0.10000469373386522</v>
      </c>
      <c r="IM19" s="13">
        <v>2562.29</v>
      </c>
      <c r="IN19" s="4">
        <v>1</v>
      </c>
      <c r="IO19" s="13">
        <v>2526.89</v>
      </c>
      <c r="IP19" s="13">
        <f t="shared" si="25"/>
        <v>2526.89</v>
      </c>
      <c r="IQ19" s="20">
        <f t="shared" si="142"/>
        <v>-1.381576636524362E-2</v>
      </c>
      <c r="IR19" s="13">
        <v>2143.1799999999998</v>
      </c>
      <c r="IS19" s="4">
        <v>0</v>
      </c>
      <c r="IT19" s="13">
        <v>2018.52</v>
      </c>
      <c r="IU19" s="13">
        <f t="shared" si="26"/>
        <v>0</v>
      </c>
      <c r="IV19" s="20">
        <f t="shared" si="143"/>
        <v>-5.8165903003947306E-2</v>
      </c>
      <c r="IW19" s="15">
        <v>1795.39</v>
      </c>
      <c r="IX19" s="4">
        <v>0</v>
      </c>
      <c r="IY19" s="13">
        <v>1690.96</v>
      </c>
      <c r="IZ19" s="13">
        <f t="shared" si="27"/>
        <v>0</v>
      </c>
      <c r="JA19" s="20">
        <f t="shared" si="144"/>
        <v>-5.8165635321573594E-2</v>
      </c>
      <c r="JB19" s="13">
        <v>1915.49</v>
      </c>
      <c r="JC19" s="4">
        <v>0</v>
      </c>
      <c r="JD19" s="13">
        <v>1915.53</v>
      </c>
      <c r="JE19" s="13">
        <f t="shared" si="28"/>
        <v>0</v>
      </c>
      <c r="JF19" s="20">
        <f t="shared" si="145"/>
        <v>2.0882385185938546E-5</v>
      </c>
      <c r="JG19" s="13">
        <v>1915.49</v>
      </c>
      <c r="JH19" s="4">
        <v>0</v>
      </c>
      <c r="JI19" s="13">
        <v>1723.95</v>
      </c>
      <c r="JJ19" s="13">
        <f t="shared" si="29"/>
        <v>0</v>
      </c>
      <c r="JK19" s="20">
        <f t="shared" si="146"/>
        <v>-9.9995301463333131E-2</v>
      </c>
      <c r="JL19" s="13">
        <v>1915.49</v>
      </c>
      <c r="JM19" s="4">
        <v>0</v>
      </c>
      <c r="JN19" s="13">
        <v>1838.02</v>
      </c>
      <c r="JO19" s="13">
        <f t="shared" si="30"/>
        <v>0</v>
      </c>
      <c r="JP19" s="20">
        <f t="shared" si="147"/>
        <v>-4.0443959509055105E-2</v>
      </c>
      <c r="JQ19" s="15">
        <v>2207.13</v>
      </c>
      <c r="JR19" s="4">
        <v>0</v>
      </c>
      <c r="JS19" s="13">
        <v>2078.75</v>
      </c>
      <c r="JT19" s="13">
        <f t="shared" si="31"/>
        <v>0</v>
      </c>
      <c r="JU19" s="20">
        <f t="shared" si="148"/>
        <v>-5.8166034624149932E-2</v>
      </c>
      <c r="JV19" s="15">
        <v>1792.13</v>
      </c>
      <c r="JW19" s="4">
        <v>0</v>
      </c>
      <c r="JX19" s="13">
        <v>1687.89</v>
      </c>
      <c r="JY19" s="13">
        <f t="shared" si="32"/>
        <v>0</v>
      </c>
      <c r="JZ19" s="20">
        <f t="shared" si="149"/>
        <v>-5.8165423267285354E-2</v>
      </c>
      <c r="KA19" s="13">
        <v>2056.56</v>
      </c>
      <c r="KB19" s="4">
        <v>2</v>
      </c>
      <c r="KC19" s="13">
        <v>1955.25</v>
      </c>
      <c r="KD19" s="13">
        <f t="shared" si="33"/>
        <v>3910.5</v>
      </c>
      <c r="KE19" s="20">
        <f t="shared" si="150"/>
        <v>-4.9261874197689348E-2</v>
      </c>
      <c r="KF19" s="15">
        <v>1594.02</v>
      </c>
      <c r="KG19" s="4">
        <v>0</v>
      </c>
      <c r="KH19" s="13">
        <v>1501.29</v>
      </c>
      <c r="KI19" s="13">
        <f t="shared" si="34"/>
        <v>0</v>
      </c>
      <c r="KJ19" s="20">
        <f t="shared" si="151"/>
        <v>-5.8173674106974826E-2</v>
      </c>
      <c r="KK19" s="15">
        <v>2652.91</v>
      </c>
      <c r="KL19" s="4">
        <v>0</v>
      </c>
      <c r="KM19" s="13">
        <v>2616.2600000000002</v>
      </c>
      <c r="KN19" s="13">
        <f t="shared" si="35"/>
        <v>0</v>
      </c>
      <c r="KO19" s="20">
        <f t="shared" si="152"/>
        <v>-1.3815018225269426E-2</v>
      </c>
      <c r="KP19" s="15">
        <v>1586.71</v>
      </c>
      <c r="KQ19" s="4">
        <v>0</v>
      </c>
      <c r="KR19" s="13">
        <v>1494.42</v>
      </c>
      <c r="KS19" s="13">
        <f t="shared" si="36"/>
        <v>0</v>
      </c>
      <c r="KT19" s="20">
        <f t="shared" si="153"/>
        <v>-5.8164377863629713E-2</v>
      </c>
      <c r="KU19" s="13">
        <v>2021.09</v>
      </c>
      <c r="KV19" s="4">
        <v>0</v>
      </c>
      <c r="KW19" s="13">
        <v>1903.54</v>
      </c>
      <c r="KX19" s="13">
        <f t="shared" si="37"/>
        <v>0</v>
      </c>
      <c r="KY19" s="20">
        <f t="shared" si="154"/>
        <v>-5.8161685031344446E-2</v>
      </c>
      <c r="KZ19" s="15">
        <v>1495.7</v>
      </c>
      <c r="LA19" s="4">
        <v>0</v>
      </c>
      <c r="LB19" s="13">
        <v>1408.7</v>
      </c>
      <c r="LC19" s="13">
        <f t="shared" si="38"/>
        <v>0</v>
      </c>
      <c r="LD19" s="20">
        <f t="shared" si="155"/>
        <v>-5.8166744668048387E-2</v>
      </c>
      <c r="LE19" s="13">
        <v>1498.79</v>
      </c>
      <c r="LF19" s="4">
        <v>0</v>
      </c>
      <c r="LG19" s="13">
        <v>1349.09</v>
      </c>
      <c r="LH19" s="13">
        <f t="shared" si="39"/>
        <v>0</v>
      </c>
      <c r="LI19" s="20">
        <f t="shared" si="156"/>
        <v>-9.9880570326730256E-2</v>
      </c>
      <c r="LJ19" s="13">
        <v>1498.79</v>
      </c>
      <c r="LK19" s="4">
        <v>0</v>
      </c>
      <c r="LL19" s="13">
        <v>1411.61</v>
      </c>
      <c r="LM19" s="13">
        <f t="shared" si="40"/>
        <v>0</v>
      </c>
      <c r="LN19" s="20">
        <f t="shared" si="157"/>
        <v>-5.8166921316528675E-2</v>
      </c>
      <c r="LO19" s="15">
        <v>3049.78</v>
      </c>
      <c r="LP19" s="4">
        <v>0</v>
      </c>
      <c r="LQ19" s="13">
        <v>2899.54</v>
      </c>
      <c r="LR19" s="13">
        <f t="shared" si="41"/>
        <v>0</v>
      </c>
      <c r="LS19" s="20">
        <f t="shared" si="158"/>
        <v>-4.9262569759130237E-2</v>
      </c>
      <c r="LU19" s="3" t="s">
        <v>7</v>
      </c>
      <c r="LV19" s="13">
        <v>12073.38</v>
      </c>
      <c r="LW19" s="4">
        <v>0</v>
      </c>
      <c r="LX19" s="13">
        <v>11614.97</v>
      </c>
      <c r="LY19" s="13">
        <f t="shared" si="42"/>
        <v>0</v>
      </c>
      <c r="LZ19" s="12">
        <f t="shared" si="159"/>
        <v>-3.7968655007959651E-2</v>
      </c>
      <c r="MA19" s="13">
        <v>6437.52</v>
      </c>
      <c r="MB19" s="4">
        <v>0</v>
      </c>
      <c r="MC19" s="13">
        <v>5794.01</v>
      </c>
      <c r="MD19" s="13">
        <f t="shared" si="43"/>
        <v>0</v>
      </c>
      <c r="ME19" s="12">
        <f t="shared" si="160"/>
        <v>-9.9962407883781412E-2</v>
      </c>
      <c r="MF19" s="13">
        <v>7861.53</v>
      </c>
      <c r="MG19" s="4">
        <v>0</v>
      </c>
      <c r="MH19" s="13">
        <v>7701.93</v>
      </c>
      <c r="MI19" s="13">
        <f t="shared" si="44"/>
        <v>0</v>
      </c>
      <c r="MJ19" s="12">
        <f t="shared" si="161"/>
        <v>-2.0301391713826611E-2</v>
      </c>
      <c r="MK19" s="15">
        <v>6471.95</v>
      </c>
      <c r="ML19" s="4">
        <v>0</v>
      </c>
      <c r="MM19" s="13">
        <v>6169.35</v>
      </c>
      <c r="MN19" s="13">
        <f t="shared" si="45"/>
        <v>0</v>
      </c>
      <c r="MO19" s="12">
        <f t="shared" si="162"/>
        <v>-4.6755614613833485E-2</v>
      </c>
      <c r="MP19" s="13">
        <v>6226.61</v>
      </c>
      <c r="MQ19" s="4">
        <v>0</v>
      </c>
      <c r="MR19" s="13">
        <v>5990.2</v>
      </c>
      <c r="MS19" s="13">
        <f t="shared" si="46"/>
        <v>0</v>
      </c>
      <c r="MT19" s="12">
        <f t="shared" si="163"/>
        <v>-3.7967690284119282E-2</v>
      </c>
      <c r="MU19" s="13">
        <v>5690.57</v>
      </c>
      <c r="MV19" s="4">
        <v>0</v>
      </c>
      <c r="MW19" s="13">
        <v>5691.05</v>
      </c>
      <c r="MX19" s="13">
        <f t="shared" si="47"/>
        <v>0</v>
      </c>
      <c r="MY19" s="12">
        <f t="shared" si="164"/>
        <v>8.4350073894290389E-5</v>
      </c>
      <c r="MZ19" s="13">
        <v>5690.57</v>
      </c>
      <c r="NA19" s="4">
        <v>0</v>
      </c>
      <c r="NB19" s="13">
        <v>5121.7299999999996</v>
      </c>
      <c r="NC19" s="13">
        <f t="shared" si="48"/>
        <v>0</v>
      </c>
      <c r="ND19" s="12">
        <f t="shared" si="165"/>
        <v>-9.9961866737427019E-2</v>
      </c>
      <c r="NE19" s="13">
        <v>5690.57</v>
      </c>
      <c r="NF19" s="4">
        <v>0</v>
      </c>
      <c r="NG19" s="13">
        <v>5424.5</v>
      </c>
      <c r="NH19" s="13">
        <f t="shared" si="49"/>
        <v>0</v>
      </c>
      <c r="NI19" s="12">
        <f t="shared" si="166"/>
        <v>-4.6756300335467182E-2</v>
      </c>
      <c r="NJ19" s="13">
        <v>6547.08</v>
      </c>
      <c r="NK19" s="4">
        <v>2</v>
      </c>
      <c r="NL19" s="13">
        <v>6125.31</v>
      </c>
      <c r="NM19" s="13">
        <f t="shared" si="50"/>
        <v>12250.62</v>
      </c>
      <c r="NN19" s="12">
        <f t="shared" si="167"/>
        <v>-6.442108543045133E-2</v>
      </c>
      <c r="NO19" s="13">
        <v>5371.16</v>
      </c>
      <c r="NP19" s="4">
        <v>0</v>
      </c>
      <c r="NQ19" s="13">
        <v>5120.03</v>
      </c>
      <c r="NR19" s="13">
        <f t="shared" si="51"/>
        <v>0</v>
      </c>
      <c r="NS19" s="12">
        <f t="shared" si="168"/>
        <v>-4.6755263295079619E-2</v>
      </c>
      <c r="NT19" s="13">
        <v>6099.77</v>
      </c>
      <c r="NU19" s="4">
        <v>3</v>
      </c>
      <c r="NV19" s="13">
        <v>5814.56</v>
      </c>
      <c r="NW19" s="13">
        <f t="shared" si="52"/>
        <v>17443.68</v>
      </c>
      <c r="NX19" s="12">
        <f t="shared" si="169"/>
        <v>-4.6757500692649057E-2</v>
      </c>
      <c r="NY19" s="13">
        <v>4776.29</v>
      </c>
      <c r="NZ19" s="4">
        <v>0</v>
      </c>
      <c r="OA19" s="13">
        <v>4468.6000000000004</v>
      </c>
      <c r="OB19" s="13">
        <f t="shared" si="53"/>
        <v>0</v>
      </c>
      <c r="OC19" s="12">
        <f t="shared" si="170"/>
        <v>-6.4420292737668694E-2</v>
      </c>
      <c r="OD19" s="15">
        <v>8784.5</v>
      </c>
      <c r="OE19" s="4">
        <v>0</v>
      </c>
      <c r="OF19" s="13">
        <v>8606.16</v>
      </c>
      <c r="OG19" s="13">
        <f t="shared" si="54"/>
        <v>0</v>
      </c>
      <c r="OH19" s="12">
        <f t="shared" si="171"/>
        <v>-2.0301667710171389E-2</v>
      </c>
      <c r="OI19" s="15">
        <v>4708.59</v>
      </c>
      <c r="OJ19" s="4">
        <v>0</v>
      </c>
      <c r="OK19" s="13">
        <v>4405.25</v>
      </c>
      <c r="OL19" s="13">
        <f t="shared" si="55"/>
        <v>0</v>
      </c>
      <c r="OM19" s="12">
        <f t="shared" si="172"/>
        <v>-6.4422682798884634E-2</v>
      </c>
      <c r="ON19" s="13">
        <v>5985.77</v>
      </c>
      <c r="OO19" s="4">
        <v>0</v>
      </c>
      <c r="OP19" s="13">
        <v>5600.16</v>
      </c>
      <c r="OQ19" s="13">
        <f t="shared" si="56"/>
        <v>0</v>
      </c>
      <c r="OR19" s="12">
        <f t="shared" si="173"/>
        <v>-6.4421118753310025E-2</v>
      </c>
      <c r="OS19" s="13">
        <v>4438.12</v>
      </c>
      <c r="OT19" s="4">
        <v>0</v>
      </c>
      <c r="OU19" s="13">
        <v>4152.2</v>
      </c>
      <c r="OV19" s="13">
        <f t="shared" si="57"/>
        <v>0</v>
      </c>
      <c r="OW19" s="12">
        <f t="shared" si="174"/>
        <v>-6.4423674889367621E-2</v>
      </c>
      <c r="OX19" s="13">
        <v>4492.09</v>
      </c>
      <c r="OY19" s="4">
        <v>0</v>
      </c>
      <c r="OZ19" s="13">
        <v>4043.06</v>
      </c>
      <c r="PA19" s="13">
        <f t="shared" si="58"/>
        <v>0</v>
      </c>
      <c r="PB19" s="12">
        <f t="shared" si="175"/>
        <v>-9.996015217860732E-2</v>
      </c>
      <c r="PC19" s="13">
        <v>4492.09</v>
      </c>
      <c r="PD19" s="4">
        <v>0</v>
      </c>
      <c r="PE19" s="13">
        <v>4282.0600000000004</v>
      </c>
      <c r="PF19" s="13">
        <f t="shared" si="59"/>
        <v>0</v>
      </c>
      <c r="PG19" s="12">
        <f t="shared" si="176"/>
        <v>-4.675551914587639E-2</v>
      </c>
      <c r="PH19" s="13">
        <v>9051.19</v>
      </c>
      <c r="PI19" s="4">
        <v>0</v>
      </c>
      <c r="PJ19" s="13">
        <v>8707.5400000000009</v>
      </c>
      <c r="PK19" s="13">
        <f t="shared" si="60"/>
        <v>0</v>
      </c>
      <c r="PL19" s="12">
        <f t="shared" si="177"/>
        <v>-3.7967383294351342E-2</v>
      </c>
      <c r="PN19" s="3" t="s">
        <v>7</v>
      </c>
      <c r="PO19" s="15">
        <v>11328.09</v>
      </c>
      <c r="PP19" s="4"/>
      <c r="PQ19" s="13"/>
      <c r="PR19" s="13">
        <f t="shared" si="61"/>
        <v>0</v>
      </c>
      <c r="PS19" s="12">
        <f t="shared" si="178"/>
        <v>-1</v>
      </c>
      <c r="PT19" s="13">
        <v>6040.13</v>
      </c>
      <c r="PU19" s="4">
        <v>0</v>
      </c>
      <c r="PV19" s="13"/>
      <c r="PW19" s="13">
        <f t="shared" si="62"/>
        <v>0</v>
      </c>
      <c r="PX19" s="12">
        <f t="shared" si="179"/>
        <v>-1</v>
      </c>
      <c r="PY19" s="13">
        <v>7376.24</v>
      </c>
      <c r="PZ19" s="4">
        <v>0</v>
      </c>
      <c r="QA19" s="13"/>
      <c r="QB19" s="13">
        <f t="shared" si="63"/>
        <v>0</v>
      </c>
      <c r="QC19" s="12">
        <f t="shared" si="180"/>
        <v>-1</v>
      </c>
      <c r="QD19" s="15">
        <v>6072.43</v>
      </c>
      <c r="QE19" s="4"/>
      <c r="QF19" s="13"/>
      <c r="QG19" s="13">
        <f t="shared" si="64"/>
        <v>0</v>
      </c>
      <c r="QH19" s="12">
        <f t="shared" si="181"/>
        <v>-1</v>
      </c>
      <c r="QI19" s="15">
        <v>5842.24</v>
      </c>
      <c r="QJ19" s="4"/>
      <c r="QK19" s="13"/>
      <c r="QL19" s="13">
        <f t="shared" si="65"/>
        <v>0</v>
      </c>
      <c r="QM19" s="12">
        <f t="shared" si="182"/>
        <v>-1</v>
      </c>
      <c r="QN19" s="15">
        <v>5339.29</v>
      </c>
      <c r="QO19" s="4"/>
      <c r="QP19" s="13"/>
      <c r="QQ19" s="13">
        <f t="shared" si="66"/>
        <v>0</v>
      </c>
      <c r="QR19" s="12">
        <f t="shared" si="183"/>
        <v>-1</v>
      </c>
      <c r="QS19" s="15">
        <v>6142.93</v>
      </c>
      <c r="QT19" s="4"/>
      <c r="QU19" s="13"/>
      <c r="QV19" s="13">
        <f t="shared" si="67"/>
        <v>0</v>
      </c>
      <c r="QW19" s="12">
        <f t="shared" si="184"/>
        <v>-1</v>
      </c>
      <c r="QX19" s="15">
        <v>5039.6000000000004</v>
      </c>
      <c r="QY19" s="4"/>
      <c r="QZ19" s="13"/>
      <c r="RA19" s="13">
        <f t="shared" si="68"/>
        <v>0</v>
      </c>
      <c r="RB19" s="12">
        <f t="shared" si="185"/>
        <v>-1</v>
      </c>
      <c r="RC19" s="15">
        <v>5723.23</v>
      </c>
      <c r="RD19" s="4"/>
      <c r="RE19" s="13"/>
      <c r="RF19" s="13">
        <f t="shared" si="69"/>
        <v>0</v>
      </c>
      <c r="RG19" s="12">
        <f t="shared" si="186"/>
        <v>-1</v>
      </c>
      <c r="RH19" s="15">
        <v>4481.45</v>
      </c>
      <c r="RI19" s="4"/>
      <c r="RJ19" s="13"/>
      <c r="RK19" s="13">
        <f t="shared" si="70"/>
        <v>0</v>
      </c>
      <c r="RL19" s="12">
        <f t="shared" si="187"/>
        <v>-1</v>
      </c>
      <c r="RM19" s="15">
        <v>8242.24</v>
      </c>
      <c r="RN19" s="4"/>
      <c r="RO19" s="13"/>
      <c r="RP19" s="13">
        <f t="shared" si="71"/>
        <v>0</v>
      </c>
      <c r="RQ19" s="12">
        <f t="shared" si="188"/>
        <v>-1</v>
      </c>
      <c r="RR19" s="15">
        <v>4417.93</v>
      </c>
      <c r="RS19" s="4"/>
      <c r="RT19" s="13"/>
      <c r="RU19" s="13">
        <f t="shared" si="72"/>
        <v>0</v>
      </c>
      <c r="RV19" s="12">
        <f t="shared" si="189"/>
        <v>-1</v>
      </c>
      <c r="RW19" s="15">
        <v>5616.27</v>
      </c>
      <c r="RX19" s="4"/>
      <c r="RY19" s="13"/>
      <c r="RZ19" s="13">
        <f t="shared" si="73"/>
        <v>0</v>
      </c>
      <c r="SA19" s="12">
        <f t="shared" si="190"/>
        <v>-1</v>
      </c>
      <c r="SB19" s="15">
        <v>4164.16</v>
      </c>
      <c r="SC19" s="4"/>
      <c r="SD19" s="13"/>
      <c r="SE19" s="13">
        <f t="shared" si="74"/>
        <v>0</v>
      </c>
      <c r="SF19" s="12">
        <f t="shared" si="191"/>
        <v>-1</v>
      </c>
      <c r="SG19" s="15">
        <v>4214.8</v>
      </c>
      <c r="SH19" s="4"/>
      <c r="SI19" s="13"/>
      <c r="SJ19" s="13">
        <f t="shared" si="75"/>
        <v>0</v>
      </c>
      <c r="SK19" s="12">
        <f t="shared" si="192"/>
        <v>-1</v>
      </c>
      <c r="SL19" s="15">
        <v>8492.4599999999991</v>
      </c>
      <c r="SM19" s="4"/>
      <c r="SN19" s="13"/>
      <c r="SO19" s="13">
        <f t="shared" si="76"/>
        <v>0</v>
      </c>
      <c r="SP19" s="12">
        <f t="shared" si="193"/>
        <v>-1</v>
      </c>
    </row>
    <row r="20" spans="1:510" x14ac:dyDescent="0.25">
      <c r="A20" s="3" t="s">
        <v>8</v>
      </c>
      <c r="B20" s="13">
        <v>9571.52</v>
      </c>
      <c r="C20" s="4">
        <v>0</v>
      </c>
      <c r="D20" s="13">
        <v>8614.34</v>
      </c>
      <c r="E20" s="13">
        <f t="shared" si="77"/>
        <v>0</v>
      </c>
      <c r="F20" s="20">
        <f t="shared" si="78"/>
        <v>-0.10000292534519073</v>
      </c>
      <c r="H20" s="3" t="s">
        <v>8</v>
      </c>
      <c r="I20" s="13">
        <v>2986.95</v>
      </c>
      <c r="J20" s="4">
        <v>0</v>
      </c>
      <c r="K20" s="13">
        <v>2688.37</v>
      </c>
      <c r="L20" s="13">
        <f t="shared" si="0"/>
        <v>0</v>
      </c>
      <c r="M20" s="20">
        <f t="shared" si="79"/>
        <v>-9.9961499188135017E-2</v>
      </c>
      <c r="O20" s="3" t="s">
        <v>8</v>
      </c>
      <c r="P20" s="13">
        <v>8886.35</v>
      </c>
      <c r="Q20" s="4">
        <v>0</v>
      </c>
      <c r="R20" s="13">
        <v>7997.68</v>
      </c>
      <c r="S20" s="13">
        <f t="shared" si="1"/>
        <v>0</v>
      </c>
      <c r="T20" s="20">
        <f t="shared" si="80"/>
        <v>-0.10000393862496981</v>
      </c>
      <c r="V20" s="3" t="s">
        <v>8</v>
      </c>
      <c r="W20" s="15">
        <v>9759.14</v>
      </c>
      <c r="X20" s="4">
        <v>0</v>
      </c>
      <c r="Y20" s="13">
        <v>9177.33</v>
      </c>
      <c r="Z20" s="13">
        <f t="shared" si="2"/>
        <v>0</v>
      </c>
      <c r="AA20" s="12">
        <f t="shared" si="81"/>
        <v>-5.9616933459300636E-2</v>
      </c>
      <c r="AB20" s="15">
        <v>8462.99</v>
      </c>
      <c r="AC20" s="4">
        <v>0</v>
      </c>
      <c r="AD20" s="13">
        <v>8031.8</v>
      </c>
      <c r="AE20" s="13">
        <f t="shared" si="3"/>
        <v>0</v>
      </c>
      <c r="AF20" s="12">
        <f t="shared" si="82"/>
        <v>-5.0950077927540915E-2</v>
      </c>
      <c r="AG20" s="33">
        <v>7898.53</v>
      </c>
      <c r="AH20" s="4">
        <v>0</v>
      </c>
      <c r="AI20" s="13">
        <v>7503.77</v>
      </c>
      <c r="AJ20" s="13">
        <f t="shared" si="4"/>
        <v>0</v>
      </c>
      <c r="AK20" s="12">
        <f t="shared" si="83"/>
        <v>-4.9978920128175619E-2</v>
      </c>
      <c r="AL20" s="15">
        <v>7099.61</v>
      </c>
      <c r="AM20" s="4">
        <v>0</v>
      </c>
      <c r="AN20" s="13">
        <v>6552.61</v>
      </c>
      <c r="AO20" s="13">
        <f t="shared" si="5"/>
        <v>0</v>
      </c>
      <c r="AP20" s="12">
        <f t="shared" si="84"/>
        <v>-7.7046485652028762E-2</v>
      </c>
      <c r="AQ20" s="15">
        <v>7007.49</v>
      </c>
      <c r="AR20" s="4">
        <v>0</v>
      </c>
      <c r="AS20" s="13">
        <v>6467.6</v>
      </c>
      <c r="AT20" s="13">
        <f t="shared" si="6"/>
        <v>0</v>
      </c>
      <c r="AU20" s="12">
        <f t="shared" si="85"/>
        <v>-7.7044705022768389E-2</v>
      </c>
      <c r="AV20" s="33">
        <v>6526.3</v>
      </c>
      <c r="AW20" s="4">
        <v>0</v>
      </c>
      <c r="AX20" s="13">
        <v>6085.23</v>
      </c>
      <c r="AY20" s="13">
        <f t="shared" si="7"/>
        <v>0</v>
      </c>
      <c r="AZ20" s="12">
        <f t="shared" si="86"/>
        <v>-6.758346996000808E-2</v>
      </c>
      <c r="BB20" s="3" t="s">
        <v>8</v>
      </c>
      <c r="BC20" s="15">
        <v>2986.95</v>
      </c>
      <c r="BD20" s="4">
        <v>0</v>
      </c>
      <c r="BE20" s="13">
        <v>2837.74</v>
      </c>
      <c r="BF20" s="13">
        <f t="shared" si="8"/>
        <v>0</v>
      </c>
      <c r="BG20" s="12">
        <f t="shared" si="87"/>
        <v>-4.9953966420596241E-2</v>
      </c>
      <c r="BH20" s="15">
        <v>2669.62</v>
      </c>
      <c r="BI20" s="4">
        <v>0</v>
      </c>
      <c r="BJ20" s="13">
        <v>2583.9899999999998</v>
      </c>
      <c r="BK20" s="13">
        <f t="shared" si="9"/>
        <v>0</v>
      </c>
      <c r="BL20" s="12">
        <f t="shared" si="88"/>
        <v>-3.2075726133307447E-2</v>
      </c>
      <c r="BM20" s="13">
        <v>2497.6999999999998</v>
      </c>
      <c r="BN20" s="4">
        <v>0</v>
      </c>
      <c r="BO20" s="13">
        <v>2372.92</v>
      </c>
      <c r="BP20" s="13">
        <f t="shared" si="10"/>
        <v>0</v>
      </c>
      <c r="BQ20" s="12">
        <f t="shared" si="89"/>
        <v>-4.9957961324418321E-2</v>
      </c>
      <c r="BR20" s="13">
        <v>2221.58</v>
      </c>
      <c r="BS20" s="4">
        <v>0</v>
      </c>
      <c r="BT20" s="13">
        <v>2110.6</v>
      </c>
      <c r="BU20" s="13">
        <f t="shared" si="11"/>
        <v>0</v>
      </c>
      <c r="BV20" s="12">
        <f t="shared" si="90"/>
        <v>-4.9955437121328106E-2</v>
      </c>
      <c r="BW20" s="15">
        <v>2211.4</v>
      </c>
      <c r="BX20" s="4">
        <v>0</v>
      </c>
      <c r="BY20" s="13">
        <v>2100.9299999999998</v>
      </c>
      <c r="BZ20" s="13">
        <f t="shared" si="12"/>
        <v>0</v>
      </c>
      <c r="CA20" s="12">
        <f t="shared" si="91"/>
        <v>-4.9954779777516611E-2</v>
      </c>
      <c r="CB20" s="15">
        <v>2084.5700000000002</v>
      </c>
      <c r="CC20" s="4">
        <v>0</v>
      </c>
      <c r="CD20" s="13">
        <v>1980.42</v>
      </c>
      <c r="CE20" s="13">
        <f t="shared" si="13"/>
        <v>0</v>
      </c>
      <c r="CF20" s="12">
        <f t="shared" si="92"/>
        <v>-4.9962342353578992E-2</v>
      </c>
      <c r="CH20" s="3" t="s">
        <v>8</v>
      </c>
      <c r="CI20" s="13">
        <v>8990.86</v>
      </c>
      <c r="CJ20" s="4">
        <v>0</v>
      </c>
      <c r="CK20" s="13">
        <v>8579.14</v>
      </c>
      <c r="CL20" s="13">
        <f t="shared" si="14"/>
        <v>0</v>
      </c>
      <c r="CM20" s="12">
        <f t="shared" si="93"/>
        <v>-4.579317217707779E-2</v>
      </c>
      <c r="CN20" s="15">
        <v>7905.36</v>
      </c>
      <c r="CO20" s="4">
        <v>0</v>
      </c>
      <c r="CP20" s="13">
        <v>7543.34</v>
      </c>
      <c r="CQ20" s="13">
        <f t="shared" si="15"/>
        <v>0</v>
      </c>
      <c r="CR20" s="12">
        <f t="shared" si="94"/>
        <v>-4.5794245929344113E-2</v>
      </c>
      <c r="CS20" s="13">
        <v>7461.65</v>
      </c>
      <c r="CT20" s="4">
        <v>0</v>
      </c>
      <c r="CU20" s="13">
        <v>7119.96</v>
      </c>
      <c r="CV20" s="13">
        <f t="shared" si="16"/>
        <v>0</v>
      </c>
      <c r="CW20" s="12">
        <f t="shared" si="95"/>
        <v>-4.5792820622784447E-2</v>
      </c>
      <c r="CX20" s="13">
        <v>6635.25</v>
      </c>
      <c r="CY20" s="4">
        <v>0</v>
      </c>
      <c r="CZ20" s="13">
        <v>6214.06</v>
      </c>
      <c r="DA20" s="13">
        <f t="shared" si="17"/>
        <v>0</v>
      </c>
      <c r="DB20" s="12">
        <f t="shared" si="96"/>
        <v>-6.3477638370822431E-2</v>
      </c>
      <c r="DC20" s="15">
        <v>6541.18</v>
      </c>
      <c r="DD20" s="4">
        <v>0</v>
      </c>
      <c r="DE20" s="13">
        <v>6125.98</v>
      </c>
      <c r="DF20" s="13">
        <f t="shared" si="18"/>
        <v>0</v>
      </c>
      <c r="DG20" s="12">
        <f t="shared" si="97"/>
        <v>-6.3474785894899854E-2</v>
      </c>
      <c r="DH20" s="13">
        <v>6165.45</v>
      </c>
      <c r="DI20" s="4">
        <v>0</v>
      </c>
      <c r="DJ20" s="13">
        <v>5774.09</v>
      </c>
      <c r="DK20" s="13">
        <f t="shared" si="19"/>
        <v>0</v>
      </c>
      <c r="DL20" s="12">
        <f t="shared" si="98"/>
        <v>-6.3476307487693506E-2</v>
      </c>
      <c r="DN20" s="3" t="s">
        <v>8</v>
      </c>
      <c r="DO20" s="13">
        <v>16558.990000000002</v>
      </c>
      <c r="DP20" s="4">
        <v>0</v>
      </c>
      <c r="DQ20" s="13">
        <v>16560.93</v>
      </c>
      <c r="DR20" s="13">
        <f t="shared" si="20"/>
        <v>0</v>
      </c>
      <c r="DS20" s="20">
        <f t="shared" si="99"/>
        <v>1.1715690389313416E-4</v>
      </c>
      <c r="DU20" s="3" t="s">
        <v>8</v>
      </c>
      <c r="DV20" s="13">
        <v>13195.1</v>
      </c>
      <c r="DW20" s="4">
        <v>0</v>
      </c>
      <c r="DX20" s="13">
        <v>13196.65</v>
      </c>
      <c r="DY20" s="13">
        <f t="shared" si="21"/>
        <v>0</v>
      </c>
      <c r="DZ20" s="20">
        <f t="shared" si="100"/>
        <v>1.1746784791322185E-4</v>
      </c>
      <c r="EB20" s="3" t="s">
        <v>8</v>
      </c>
      <c r="EC20" s="13">
        <v>13195.1</v>
      </c>
      <c r="ED20" s="4">
        <v>0</v>
      </c>
      <c r="EE20" s="13">
        <v>13196.65</v>
      </c>
      <c r="EF20" s="13">
        <f t="shared" si="22"/>
        <v>0</v>
      </c>
      <c r="EG20" s="20">
        <f t="shared" si="101"/>
        <v>1.1746784791322185E-4</v>
      </c>
      <c r="EI20" s="3" t="s">
        <v>8</v>
      </c>
      <c r="EJ20" s="13">
        <v>16140.31</v>
      </c>
      <c r="EK20" s="4">
        <v>1</v>
      </c>
      <c r="EL20" s="13">
        <v>15515.14</v>
      </c>
      <c r="EM20" s="13">
        <f t="shared" si="102"/>
        <v>15515.14</v>
      </c>
      <c r="EN20" s="20">
        <f t="shared" si="103"/>
        <v>-3.8733456792341636E-2</v>
      </c>
      <c r="EO20" s="13">
        <v>8304.2900000000009</v>
      </c>
      <c r="EP20" s="4">
        <v>0</v>
      </c>
      <c r="EQ20" s="13">
        <v>7473.86</v>
      </c>
      <c r="ER20" s="13">
        <f t="shared" si="104"/>
        <v>0</v>
      </c>
      <c r="ES20" s="20">
        <f t="shared" si="105"/>
        <v>-0.10000012041968687</v>
      </c>
      <c r="ET20" s="13">
        <v>10844.57</v>
      </c>
      <c r="EU20" s="4">
        <v>0</v>
      </c>
      <c r="EV20" s="13">
        <v>10708.59</v>
      </c>
      <c r="EW20" s="13">
        <f t="shared" si="106"/>
        <v>0</v>
      </c>
      <c r="EX20" s="20">
        <f t="shared" si="107"/>
        <v>-1.2538994169432272E-2</v>
      </c>
      <c r="EY20" s="15">
        <v>8464.0300000000007</v>
      </c>
      <c r="EZ20" s="4">
        <v>0</v>
      </c>
      <c r="FA20" s="13">
        <v>7988.88</v>
      </c>
      <c r="FB20" s="13">
        <f t="shared" si="108"/>
        <v>0</v>
      </c>
      <c r="FC20" s="20">
        <f t="shared" si="109"/>
        <v>-5.613756094909883E-2</v>
      </c>
      <c r="FD20" s="15">
        <v>7648.79</v>
      </c>
      <c r="FE20" s="4">
        <v>0</v>
      </c>
      <c r="FF20" s="13">
        <v>7285.97</v>
      </c>
      <c r="FG20" s="13">
        <f t="shared" si="110"/>
        <v>0</v>
      </c>
      <c r="FH20" s="20">
        <f t="shared" si="111"/>
        <v>-4.7434953763928589E-2</v>
      </c>
      <c r="FI20" s="13">
        <v>7339.88</v>
      </c>
      <c r="FJ20" s="4">
        <v>0</v>
      </c>
      <c r="FK20" s="13">
        <v>7340.16</v>
      </c>
      <c r="FL20" s="13">
        <f t="shared" si="112"/>
        <v>0</v>
      </c>
      <c r="FM20" s="20">
        <f t="shared" si="113"/>
        <v>3.8147762633666815E-5</v>
      </c>
      <c r="FN20" s="13">
        <v>7339.88</v>
      </c>
      <c r="FO20" s="4">
        <v>0</v>
      </c>
      <c r="FP20" s="13">
        <v>6606.52</v>
      </c>
      <c r="FQ20" s="13">
        <f t="shared" si="114"/>
        <v>0</v>
      </c>
      <c r="FR20" s="20">
        <f t="shared" si="115"/>
        <v>-9.9914440018092909E-2</v>
      </c>
      <c r="FS20" s="13">
        <v>7339.88</v>
      </c>
      <c r="FT20" s="4">
        <v>0</v>
      </c>
      <c r="FU20" s="13">
        <v>6991.71</v>
      </c>
      <c r="FV20" s="13">
        <f t="shared" si="116"/>
        <v>0</v>
      </c>
      <c r="FW20" s="20">
        <f t="shared" si="117"/>
        <v>-4.7435380414938666E-2</v>
      </c>
      <c r="FX20" s="15">
        <v>8389.58</v>
      </c>
      <c r="FY20" s="4">
        <v>0</v>
      </c>
      <c r="FZ20" s="13">
        <v>7771.86</v>
      </c>
      <c r="GA20" s="13">
        <f t="shared" si="118"/>
        <v>0</v>
      </c>
      <c r="GB20" s="20">
        <f t="shared" si="119"/>
        <v>-7.3629430793913486E-2</v>
      </c>
      <c r="GC20" s="13">
        <v>6920.56</v>
      </c>
      <c r="GD20" s="4">
        <v>0</v>
      </c>
      <c r="GE20" s="13">
        <v>6532.04</v>
      </c>
      <c r="GF20" s="13">
        <f t="shared" si="120"/>
        <v>0</v>
      </c>
      <c r="GG20" s="20">
        <f t="shared" si="121"/>
        <v>-5.613996555192069E-2</v>
      </c>
      <c r="GH20" s="15">
        <v>7818.33</v>
      </c>
      <c r="GI20" s="4">
        <v>0</v>
      </c>
      <c r="GJ20" s="13">
        <v>7379.43</v>
      </c>
      <c r="GK20" s="13">
        <f t="shared" si="122"/>
        <v>0</v>
      </c>
      <c r="GL20" s="20">
        <f t="shared" si="123"/>
        <v>-5.6137308095207006E-2</v>
      </c>
      <c r="GM20" s="15">
        <v>6157.44</v>
      </c>
      <c r="GN20" s="4">
        <v>0</v>
      </c>
      <c r="GO20" s="13">
        <v>5704.06</v>
      </c>
      <c r="GP20" s="13">
        <f t="shared" si="124"/>
        <v>0</v>
      </c>
      <c r="GQ20" s="20">
        <f t="shared" si="125"/>
        <v>-7.3631249350379235E-2</v>
      </c>
      <c r="GR20" s="13">
        <v>13385.13</v>
      </c>
      <c r="GS20" s="4">
        <v>0</v>
      </c>
      <c r="GT20" s="13">
        <v>12984.33</v>
      </c>
      <c r="GU20" s="13">
        <f t="shared" si="126"/>
        <v>0</v>
      </c>
      <c r="GV20" s="20">
        <f t="shared" si="127"/>
        <v>-2.9943676303480049E-2</v>
      </c>
      <c r="GW20" s="15">
        <v>6077.55</v>
      </c>
      <c r="GX20" s="4">
        <v>0</v>
      </c>
      <c r="GY20" s="13">
        <v>5630.06</v>
      </c>
      <c r="GZ20" s="13">
        <f t="shared" si="128"/>
        <v>0</v>
      </c>
      <c r="HA20" s="20">
        <f t="shared" si="129"/>
        <v>-7.3629998930490048E-2</v>
      </c>
      <c r="HB20" s="15">
        <v>8067.7</v>
      </c>
      <c r="HC20" s="4">
        <v>0</v>
      </c>
      <c r="HD20" s="13">
        <v>7473.67</v>
      </c>
      <c r="HE20" s="13">
        <f t="shared" si="130"/>
        <v>0</v>
      </c>
      <c r="HF20" s="20">
        <f t="shared" si="131"/>
        <v>-7.363065061913554E-2</v>
      </c>
      <c r="HG20" s="15">
        <v>5718.24</v>
      </c>
      <c r="HH20" s="4">
        <v>0</v>
      </c>
      <c r="HI20" s="13">
        <v>5297.2</v>
      </c>
      <c r="HJ20" s="13">
        <f t="shared" si="132"/>
        <v>0</v>
      </c>
      <c r="HK20" s="20">
        <f t="shared" si="133"/>
        <v>-7.3631047315257825E-2</v>
      </c>
      <c r="HL20" s="13">
        <v>5784.57</v>
      </c>
      <c r="HM20" s="4">
        <v>0</v>
      </c>
      <c r="HN20" s="13">
        <v>5206.3599999999997</v>
      </c>
      <c r="HO20" s="13">
        <f t="shared" si="134"/>
        <v>0</v>
      </c>
      <c r="HP20" s="20">
        <f t="shared" si="135"/>
        <v>-9.9957300196903187E-2</v>
      </c>
      <c r="HQ20" s="13">
        <v>5784.57</v>
      </c>
      <c r="HR20" s="4">
        <v>0</v>
      </c>
      <c r="HS20" s="13">
        <v>5358.66</v>
      </c>
      <c r="HT20" s="13">
        <f t="shared" si="136"/>
        <v>0</v>
      </c>
      <c r="HU20" s="20">
        <f t="shared" si="137"/>
        <v>-7.3628636182119012E-2</v>
      </c>
      <c r="HV20" s="13">
        <v>14541.52</v>
      </c>
      <c r="HW20" s="4">
        <v>0</v>
      </c>
      <c r="HX20" s="13">
        <v>14359.2</v>
      </c>
      <c r="HY20" s="13">
        <f t="shared" si="138"/>
        <v>0</v>
      </c>
      <c r="HZ20" s="20">
        <f t="shared" si="139"/>
        <v>-1.2537891499650677E-2</v>
      </c>
      <c r="IB20" s="3" t="s">
        <v>8</v>
      </c>
      <c r="IC20" s="15">
        <v>4883.38</v>
      </c>
      <c r="ID20" s="4">
        <v>0</v>
      </c>
      <c r="IE20" s="13">
        <v>4685.8900000000003</v>
      </c>
      <c r="IF20" s="13">
        <f t="shared" si="23"/>
        <v>0</v>
      </c>
      <c r="IG20" s="20">
        <f t="shared" si="140"/>
        <v>-4.044125175595592E-2</v>
      </c>
      <c r="IH20" s="13">
        <v>2583.7800000000002</v>
      </c>
      <c r="II20" s="4">
        <v>0</v>
      </c>
      <c r="IJ20" s="13">
        <v>2325.38</v>
      </c>
      <c r="IK20" s="13">
        <f t="shared" si="24"/>
        <v>0</v>
      </c>
      <c r="IL20" s="20">
        <f t="shared" si="141"/>
        <v>-0.1000085146568207</v>
      </c>
      <c r="IM20" s="13">
        <v>3107.44</v>
      </c>
      <c r="IN20" s="4">
        <v>0</v>
      </c>
      <c r="IO20" s="13">
        <v>3064.51</v>
      </c>
      <c r="IP20" s="13">
        <f t="shared" si="25"/>
        <v>0</v>
      </c>
      <c r="IQ20" s="20">
        <f t="shared" si="142"/>
        <v>-1.3815230543469781E-2</v>
      </c>
      <c r="IR20" s="13">
        <v>2599.16</v>
      </c>
      <c r="IS20" s="4">
        <v>0</v>
      </c>
      <c r="IT20" s="13">
        <v>2447.98</v>
      </c>
      <c r="IU20" s="13">
        <f t="shared" si="26"/>
        <v>0</v>
      </c>
      <c r="IV20" s="20">
        <f t="shared" si="143"/>
        <v>-5.8164945597808493E-2</v>
      </c>
      <c r="IW20" s="15">
        <v>2177.38</v>
      </c>
      <c r="IX20" s="4">
        <v>0</v>
      </c>
      <c r="IY20" s="13">
        <v>2050.7199999999998</v>
      </c>
      <c r="IZ20" s="13">
        <f t="shared" si="27"/>
        <v>0</v>
      </c>
      <c r="JA20" s="20">
        <f t="shared" si="144"/>
        <v>-5.817082916165317E-2</v>
      </c>
      <c r="JB20" s="13">
        <v>2323.02</v>
      </c>
      <c r="JC20" s="4">
        <v>0</v>
      </c>
      <c r="JD20" s="13">
        <v>2323.0700000000002</v>
      </c>
      <c r="JE20" s="13">
        <f t="shared" si="28"/>
        <v>0</v>
      </c>
      <c r="JF20" s="20">
        <f t="shared" si="145"/>
        <v>2.1523706210002658E-5</v>
      </c>
      <c r="JG20" s="13">
        <v>2323.02</v>
      </c>
      <c r="JH20" s="4">
        <v>0</v>
      </c>
      <c r="JI20" s="13">
        <v>2090.7399999999998</v>
      </c>
      <c r="JJ20" s="13">
        <f t="shared" si="29"/>
        <v>0</v>
      </c>
      <c r="JK20" s="20">
        <f t="shared" si="146"/>
        <v>-9.9990529569267683E-2</v>
      </c>
      <c r="JL20" s="13">
        <v>2323.02</v>
      </c>
      <c r="JM20" s="4">
        <v>1</v>
      </c>
      <c r="JN20" s="13">
        <v>2229.0700000000002</v>
      </c>
      <c r="JO20" s="13">
        <f t="shared" si="30"/>
        <v>2229.0700000000002</v>
      </c>
      <c r="JP20" s="20">
        <f t="shared" si="147"/>
        <v>-4.0443043968626968E-2</v>
      </c>
      <c r="JQ20" s="15">
        <v>2676.72</v>
      </c>
      <c r="JR20" s="4">
        <v>0</v>
      </c>
      <c r="JS20" s="13">
        <v>2521.0300000000002</v>
      </c>
      <c r="JT20" s="13">
        <f t="shared" si="31"/>
        <v>0</v>
      </c>
      <c r="JU20" s="20">
        <f t="shared" si="148"/>
        <v>-5.8164469948294828E-2</v>
      </c>
      <c r="JV20" s="15">
        <v>2173.42</v>
      </c>
      <c r="JW20" s="4">
        <v>0</v>
      </c>
      <c r="JX20" s="13">
        <v>2047</v>
      </c>
      <c r="JY20" s="13">
        <f t="shared" si="32"/>
        <v>0</v>
      </c>
      <c r="JZ20" s="20">
        <f t="shared" si="149"/>
        <v>-5.8166392137736889E-2</v>
      </c>
      <c r="KA20" s="13">
        <v>2494.11</v>
      </c>
      <c r="KB20" s="4">
        <v>0</v>
      </c>
      <c r="KC20" s="13">
        <v>2371.25</v>
      </c>
      <c r="KD20" s="13">
        <f t="shared" si="33"/>
        <v>0</v>
      </c>
      <c r="KE20" s="20">
        <f t="shared" si="150"/>
        <v>-4.9260056693570142E-2</v>
      </c>
      <c r="KF20" s="15">
        <v>1933.15</v>
      </c>
      <c r="KG20" s="4">
        <v>0</v>
      </c>
      <c r="KH20" s="13">
        <v>1820.71</v>
      </c>
      <c r="KI20" s="13">
        <f t="shared" si="34"/>
        <v>0</v>
      </c>
      <c r="KJ20" s="20">
        <f t="shared" si="151"/>
        <v>-5.8164136254299947E-2</v>
      </c>
      <c r="KK20" s="15">
        <v>3217.34</v>
      </c>
      <c r="KL20" s="4">
        <v>0</v>
      </c>
      <c r="KM20" s="13">
        <v>3172.9</v>
      </c>
      <c r="KN20" s="13">
        <f t="shared" si="35"/>
        <v>0</v>
      </c>
      <c r="KO20" s="20">
        <f t="shared" si="152"/>
        <v>-1.3812652688245608E-2</v>
      </c>
      <c r="KP20" s="15">
        <v>1924.3</v>
      </c>
      <c r="KQ20" s="4">
        <v>0</v>
      </c>
      <c r="KR20" s="13">
        <v>1812.37</v>
      </c>
      <c r="KS20" s="13">
        <f t="shared" si="36"/>
        <v>0</v>
      </c>
      <c r="KT20" s="20">
        <f t="shared" si="153"/>
        <v>-5.8166606038559499E-2</v>
      </c>
      <c r="KU20" s="13">
        <v>2451.1</v>
      </c>
      <c r="KV20" s="4">
        <v>1</v>
      </c>
      <c r="KW20" s="13">
        <v>2308.5300000000002</v>
      </c>
      <c r="KX20" s="13">
        <f t="shared" si="37"/>
        <v>2308.5300000000002</v>
      </c>
      <c r="KY20" s="20">
        <f t="shared" si="154"/>
        <v>-5.8165721512790092E-2</v>
      </c>
      <c r="KZ20" s="15">
        <v>1813.93</v>
      </c>
      <c r="LA20" s="4">
        <v>0</v>
      </c>
      <c r="LB20" s="13">
        <v>1708.41</v>
      </c>
      <c r="LC20" s="13">
        <f t="shared" si="38"/>
        <v>0</v>
      </c>
      <c r="LD20" s="20">
        <f t="shared" si="155"/>
        <v>-5.8172035304559722E-2</v>
      </c>
      <c r="LE20" s="13">
        <v>1817.68</v>
      </c>
      <c r="LF20" s="4">
        <v>2</v>
      </c>
      <c r="LG20" s="13">
        <v>1636.13</v>
      </c>
      <c r="LH20" s="13">
        <f t="shared" si="39"/>
        <v>3272.26</v>
      </c>
      <c r="LI20" s="20">
        <f t="shared" si="156"/>
        <v>-9.9880066898463959E-2</v>
      </c>
      <c r="LJ20" s="13">
        <v>1817.68</v>
      </c>
      <c r="LK20" s="4">
        <v>0</v>
      </c>
      <c r="LL20" s="13">
        <v>1711.95</v>
      </c>
      <c r="LM20" s="13">
        <f t="shared" si="40"/>
        <v>0</v>
      </c>
      <c r="LN20" s="20">
        <f t="shared" si="157"/>
        <v>-5.8167554244971664E-2</v>
      </c>
      <c r="LO20" s="15">
        <v>3698.65</v>
      </c>
      <c r="LP20" s="4">
        <v>0</v>
      </c>
      <c r="LQ20" s="13">
        <v>3516.45</v>
      </c>
      <c r="LR20" s="13">
        <f t="shared" si="41"/>
        <v>0</v>
      </c>
      <c r="LS20" s="20">
        <f t="shared" si="158"/>
        <v>-4.9261216930501783E-2</v>
      </c>
      <c r="LU20" s="3" t="s">
        <v>8</v>
      </c>
      <c r="LV20" s="13">
        <v>14642.1</v>
      </c>
      <c r="LW20" s="4">
        <v>0</v>
      </c>
      <c r="LX20" s="13">
        <v>14086.18</v>
      </c>
      <c r="LY20" s="13">
        <f t="shared" si="42"/>
        <v>0</v>
      </c>
      <c r="LZ20" s="12">
        <f t="shared" si="159"/>
        <v>-3.7967231476359276E-2</v>
      </c>
      <c r="MA20" s="13">
        <v>7807.17</v>
      </c>
      <c r="MB20" s="4">
        <v>2</v>
      </c>
      <c r="MC20" s="13">
        <v>7026.74</v>
      </c>
      <c r="MD20" s="13">
        <f t="shared" si="43"/>
        <v>14053.48</v>
      </c>
      <c r="ME20" s="12">
        <f t="shared" si="160"/>
        <v>-9.9963238920120934E-2</v>
      </c>
      <c r="MF20" s="13">
        <v>9534.15</v>
      </c>
      <c r="MG20" s="4">
        <v>0</v>
      </c>
      <c r="MH20" s="13">
        <v>9340.58</v>
      </c>
      <c r="MI20" s="13">
        <f t="shared" si="44"/>
        <v>0</v>
      </c>
      <c r="MJ20" s="12">
        <f t="shared" si="161"/>
        <v>-2.0302806228137737E-2</v>
      </c>
      <c r="MK20" s="15">
        <v>7848.92</v>
      </c>
      <c r="ML20" s="4">
        <v>0</v>
      </c>
      <c r="MM20" s="13">
        <v>7481.93</v>
      </c>
      <c r="MN20" s="13">
        <f t="shared" si="45"/>
        <v>0</v>
      </c>
      <c r="MO20" s="12">
        <f t="shared" si="162"/>
        <v>-4.6756751247305384E-2</v>
      </c>
      <c r="MP20" s="13">
        <v>7551.39</v>
      </c>
      <c r="MQ20" s="4">
        <v>0</v>
      </c>
      <c r="MR20" s="13">
        <v>7264.67</v>
      </c>
      <c r="MS20" s="13">
        <f t="shared" si="46"/>
        <v>0</v>
      </c>
      <c r="MT20" s="12">
        <f t="shared" si="163"/>
        <v>-3.7969168590153646E-2</v>
      </c>
      <c r="MU20" s="13">
        <v>6901.29</v>
      </c>
      <c r="MV20" s="4">
        <v>1</v>
      </c>
      <c r="MW20" s="13">
        <v>6901.87</v>
      </c>
      <c r="MX20" s="13">
        <f t="shared" si="47"/>
        <v>6901.87</v>
      </c>
      <c r="MY20" s="12">
        <f t="shared" si="164"/>
        <v>8.404225876601501E-5</v>
      </c>
      <c r="MZ20" s="13">
        <v>6901.29</v>
      </c>
      <c r="NA20" s="4">
        <v>0</v>
      </c>
      <c r="NB20" s="13">
        <v>6211.42</v>
      </c>
      <c r="NC20" s="13">
        <f t="shared" si="48"/>
        <v>0</v>
      </c>
      <c r="ND20" s="12">
        <f t="shared" si="165"/>
        <v>-9.9962470784447532E-2</v>
      </c>
      <c r="NE20" s="13">
        <v>6901.29</v>
      </c>
      <c r="NF20" s="4">
        <v>1</v>
      </c>
      <c r="NG20" s="13">
        <v>6578.61</v>
      </c>
      <c r="NH20" s="13">
        <f t="shared" si="49"/>
        <v>6578.61</v>
      </c>
      <c r="NI20" s="12">
        <f t="shared" si="166"/>
        <v>-4.6756475963189548E-2</v>
      </c>
      <c r="NJ20" s="13">
        <v>7940.04</v>
      </c>
      <c r="NK20" s="4">
        <v>0</v>
      </c>
      <c r="NL20" s="13">
        <v>7428.53</v>
      </c>
      <c r="NM20" s="13">
        <f t="shared" si="50"/>
        <v>0</v>
      </c>
      <c r="NN20" s="12">
        <f t="shared" si="167"/>
        <v>-6.4421589815668479E-2</v>
      </c>
      <c r="NO20" s="13">
        <v>6513.94</v>
      </c>
      <c r="NP20" s="4">
        <v>0</v>
      </c>
      <c r="NQ20" s="13">
        <v>6209.38</v>
      </c>
      <c r="NR20" s="13">
        <f t="shared" si="51"/>
        <v>0</v>
      </c>
      <c r="NS20" s="12">
        <f t="shared" si="168"/>
        <v>-4.6755112880990546E-2</v>
      </c>
      <c r="NT20" s="13">
        <v>7397.56</v>
      </c>
      <c r="NU20" s="4">
        <v>0</v>
      </c>
      <c r="NV20" s="13">
        <v>7051.67</v>
      </c>
      <c r="NW20" s="13">
        <f t="shared" si="52"/>
        <v>0</v>
      </c>
      <c r="NX20" s="12">
        <f t="shared" si="169"/>
        <v>-4.6757309166806427E-2</v>
      </c>
      <c r="NY20" s="13">
        <v>5792.51</v>
      </c>
      <c r="NZ20" s="4">
        <v>0</v>
      </c>
      <c r="OA20" s="13">
        <v>5419.33</v>
      </c>
      <c r="OB20" s="13">
        <f t="shared" si="53"/>
        <v>0</v>
      </c>
      <c r="OC20" s="12">
        <f t="shared" si="170"/>
        <v>-6.442457587470718E-2</v>
      </c>
      <c r="OD20" s="15">
        <v>10653.49</v>
      </c>
      <c r="OE20" s="4">
        <v>0</v>
      </c>
      <c r="OF20" s="13">
        <v>10437.200000000001</v>
      </c>
      <c r="OG20" s="13">
        <f t="shared" si="54"/>
        <v>0</v>
      </c>
      <c r="OH20" s="12">
        <f t="shared" si="171"/>
        <v>-2.0302267144381658E-2</v>
      </c>
      <c r="OI20" s="15">
        <v>5710.39</v>
      </c>
      <c r="OJ20" s="4">
        <v>0</v>
      </c>
      <c r="OK20" s="13">
        <v>5342.52</v>
      </c>
      <c r="OL20" s="13">
        <f t="shared" si="55"/>
        <v>0</v>
      </c>
      <c r="OM20" s="12">
        <f t="shared" si="172"/>
        <v>-6.4421169132055756E-2</v>
      </c>
      <c r="ON20" s="13">
        <v>7259.3</v>
      </c>
      <c r="OO20" s="4">
        <v>0</v>
      </c>
      <c r="OP20" s="13">
        <v>6791.65</v>
      </c>
      <c r="OQ20" s="13">
        <f t="shared" si="56"/>
        <v>0</v>
      </c>
      <c r="OR20" s="12">
        <f t="shared" si="173"/>
        <v>-6.4420811924014831E-2</v>
      </c>
      <c r="OS20" s="13">
        <v>5382.37</v>
      </c>
      <c r="OT20" s="4">
        <v>0</v>
      </c>
      <c r="OU20" s="13">
        <v>5035.63</v>
      </c>
      <c r="OV20" s="13">
        <f t="shared" si="57"/>
        <v>0</v>
      </c>
      <c r="OW20" s="12">
        <f t="shared" si="174"/>
        <v>-6.4421435167036023E-2</v>
      </c>
      <c r="OX20" s="13">
        <v>5447.82</v>
      </c>
      <c r="OY20" s="4">
        <v>0</v>
      </c>
      <c r="OZ20" s="13">
        <v>4903.25</v>
      </c>
      <c r="PA20" s="13">
        <f t="shared" si="58"/>
        <v>0</v>
      </c>
      <c r="PB20" s="12">
        <f t="shared" si="175"/>
        <v>-9.9961085351571777E-2</v>
      </c>
      <c r="PC20" s="13">
        <v>5447.82</v>
      </c>
      <c r="PD20" s="4">
        <v>0</v>
      </c>
      <c r="PE20" s="13">
        <v>5193.1000000000004</v>
      </c>
      <c r="PF20" s="13">
        <f t="shared" si="59"/>
        <v>0</v>
      </c>
      <c r="PG20" s="12">
        <f t="shared" si="176"/>
        <v>-4.6756317205781328E-2</v>
      </c>
      <c r="PH20" s="13">
        <v>10976.93</v>
      </c>
      <c r="PI20" s="4">
        <v>0</v>
      </c>
      <c r="PJ20" s="13">
        <v>10560.16</v>
      </c>
      <c r="PK20" s="13">
        <f t="shared" si="60"/>
        <v>0</v>
      </c>
      <c r="PL20" s="12">
        <f t="shared" si="177"/>
        <v>-3.7967810672018487E-2</v>
      </c>
      <c r="PN20" s="3" t="s">
        <v>8</v>
      </c>
      <c r="PO20" s="15">
        <v>13738.25</v>
      </c>
      <c r="PP20" s="4"/>
      <c r="PQ20" s="13"/>
      <c r="PR20" s="13">
        <f t="shared" si="61"/>
        <v>0</v>
      </c>
      <c r="PS20" s="12">
        <f t="shared" si="178"/>
        <v>-1</v>
      </c>
      <c r="PT20" s="13">
        <v>7325.23</v>
      </c>
      <c r="PU20" s="4">
        <v>2</v>
      </c>
      <c r="PV20" s="13"/>
      <c r="PW20" s="13">
        <f t="shared" si="62"/>
        <v>0</v>
      </c>
      <c r="PX20" s="12">
        <f t="shared" si="179"/>
        <v>-1</v>
      </c>
      <c r="PY20" s="13">
        <v>8945.61</v>
      </c>
      <c r="PZ20" s="4">
        <v>0</v>
      </c>
      <c r="QA20" s="13"/>
      <c r="QB20" s="13">
        <f t="shared" si="63"/>
        <v>0</v>
      </c>
      <c r="QC20" s="12">
        <f t="shared" si="180"/>
        <v>-1</v>
      </c>
      <c r="QD20" s="15">
        <v>7364.41</v>
      </c>
      <c r="QE20" s="4"/>
      <c r="QF20" s="13"/>
      <c r="QG20" s="13">
        <f t="shared" si="64"/>
        <v>0</v>
      </c>
      <c r="QH20" s="12">
        <f t="shared" si="181"/>
        <v>-1</v>
      </c>
      <c r="QI20" s="15">
        <v>7085.24</v>
      </c>
      <c r="QJ20" s="4"/>
      <c r="QK20" s="13"/>
      <c r="QL20" s="13">
        <f t="shared" si="65"/>
        <v>0</v>
      </c>
      <c r="QM20" s="12">
        <f t="shared" si="182"/>
        <v>-1</v>
      </c>
      <c r="QN20" s="15">
        <v>6475.28</v>
      </c>
      <c r="QO20" s="4"/>
      <c r="QP20" s="13"/>
      <c r="QQ20" s="13">
        <f t="shared" si="66"/>
        <v>0</v>
      </c>
      <c r="QR20" s="12">
        <f t="shared" si="183"/>
        <v>-1</v>
      </c>
      <c r="QS20" s="15">
        <v>7449.9</v>
      </c>
      <c r="QT20" s="4"/>
      <c r="QU20" s="13"/>
      <c r="QV20" s="13">
        <f t="shared" si="67"/>
        <v>0</v>
      </c>
      <c r="QW20" s="12">
        <f t="shared" si="184"/>
        <v>-1</v>
      </c>
      <c r="QX20" s="15">
        <v>6111.83</v>
      </c>
      <c r="QY20" s="4"/>
      <c r="QZ20" s="13"/>
      <c r="RA20" s="13">
        <f t="shared" si="68"/>
        <v>0</v>
      </c>
      <c r="RB20" s="12">
        <f t="shared" si="185"/>
        <v>-1</v>
      </c>
      <c r="RC20" s="15">
        <v>6940.91</v>
      </c>
      <c r="RD20" s="4"/>
      <c r="RE20" s="13"/>
      <c r="RF20" s="13">
        <f t="shared" si="69"/>
        <v>0</v>
      </c>
      <c r="RG20" s="12">
        <f t="shared" si="186"/>
        <v>-1</v>
      </c>
      <c r="RH20" s="15">
        <v>5434.94</v>
      </c>
      <c r="RI20" s="4"/>
      <c r="RJ20" s="13"/>
      <c r="RK20" s="13">
        <f t="shared" si="70"/>
        <v>0</v>
      </c>
      <c r="RL20" s="12">
        <f t="shared" si="187"/>
        <v>-1</v>
      </c>
      <c r="RM20" s="15">
        <v>9995.85</v>
      </c>
      <c r="RN20" s="4"/>
      <c r="RO20" s="13"/>
      <c r="RP20" s="13">
        <f t="shared" si="71"/>
        <v>0</v>
      </c>
      <c r="RQ20" s="12">
        <f t="shared" si="188"/>
        <v>-1</v>
      </c>
      <c r="RR20" s="15">
        <v>5357.89</v>
      </c>
      <c r="RS20" s="4"/>
      <c r="RT20" s="13"/>
      <c r="RU20" s="13">
        <f t="shared" si="72"/>
        <v>0</v>
      </c>
      <c r="RV20" s="12">
        <f t="shared" si="189"/>
        <v>-1</v>
      </c>
      <c r="RW20" s="15">
        <v>6811.19</v>
      </c>
      <c r="RX20" s="4"/>
      <c r="RY20" s="13"/>
      <c r="RZ20" s="13">
        <f t="shared" si="73"/>
        <v>0</v>
      </c>
      <c r="SA20" s="12">
        <f t="shared" si="190"/>
        <v>-1</v>
      </c>
      <c r="SB20" s="15">
        <v>5050.12</v>
      </c>
      <c r="SC20" s="4"/>
      <c r="SD20" s="13"/>
      <c r="SE20" s="13">
        <f t="shared" si="74"/>
        <v>0</v>
      </c>
      <c r="SF20" s="12">
        <f t="shared" si="191"/>
        <v>-1</v>
      </c>
      <c r="SG20" s="15">
        <v>5111.53</v>
      </c>
      <c r="SH20" s="4"/>
      <c r="SI20" s="13"/>
      <c r="SJ20" s="13">
        <f t="shared" si="75"/>
        <v>0</v>
      </c>
      <c r="SK20" s="12">
        <f t="shared" si="192"/>
        <v>-1</v>
      </c>
      <c r="SL20" s="15">
        <v>10299.33</v>
      </c>
      <c r="SM20" s="4"/>
      <c r="SN20" s="13"/>
      <c r="SO20" s="13">
        <f t="shared" si="76"/>
        <v>0</v>
      </c>
      <c r="SP20" s="12">
        <f t="shared" si="193"/>
        <v>-1</v>
      </c>
    </row>
    <row r="21" spans="1:510" x14ac:dyDescent="0.25">
      <c r="A21" s="3" t="s">
        <v>9</v>
      </c>
      <c r="B21" s="13">
        <v>13026.77</v>
      </c>
      <c r="C21" s="4">
        <v>0</v>
      </c>
      <c r="D21" s="13">
        <v>11724.04</v>
      </c>
      <c r="E21" s="13">
        <f t="shared" si="77"/>
        <v>0</v>
      </c>
      <c r="F21" s="20">
        <f t="shared" si="78"/>
        <v>-0.10000406854500388</v>
      </c>
      <c r="H21" s="3" t="s">
        <v>9</v>
      </c>
      <c r="I21" s="13">
        <v>4065.22</v>
      </c>
      <c r="J21" s="4">
        <v>0</v>
      </c>
      <c r="K21" s="13">
        <v>3658.85</v>
      </c>
      <c r="L21" s="13">
        <f t="shared" si="0"/>
        <v>0</v>
      </c>
      <c r="M21" s="20">
        <f t="shared" si="79"/>
        <v>-9.9962609649662193E-2</v>
      </c>
      <c r="O21" s="3" t="s">
        <v>9</v>
      </c>
      <c r="P21" s="13">
        <v>12094.23</v>
      </c>
      <c r="Q21" s="4">
        <v>0</v>
      </c>
      <c r="R21" s="13">
        <v>10884.77</v>
      </c>
      <c r="S21" s="13">
        <f t="shared" si="1"/>
        <v>0</v>
      </c>
      <c r="T21" s="20">
        <f t="shared" si="80"/>
        <v>-0.10000305931010067</v>
      </c>
      <c r="V21" s="3" t="s">
        <v>9</v>
      </c>
      <c r="W21" s="15">
        <v>13282.11</v>
      </c>
      <c r="X21" s="4">
        <v>0</v>
      </c>
      <c r="Y21" s="13">
        <v>12490.26</v>
      </c>
      <c r="Z21" s="13">
        <f t="shared" si="2"/>
        <v>0</v>
      </c>
      <c r="AA21" s="12">
        <f t="shared" si="81"/>
        <v>-5.9617786631792735E-2</v>
      </c>
      <c r="AB21" s="15">
        <v>11518.04</v>
      </c>
      <c r="AC21" s="4">
        <v>0</v>
      </c>
      <c r="AD21" s="13">
        <v>10931.23</v>
      </c>
      <c r="AE21" s="13">
        <f t="shared" si="3"/>
        <v>0</v>
      </c>
      <c r="AF21" s="12">
        <f t="shared" si="82"/>
        <v>-5.0947036127674594E-2</v>
      </c>
      <c r="AG21" s="33">
        <v>10749.82</v>
      </c>
      <c r="AH21" s="4">
        <v>0</v>
      </c>
      <c r="AI21" s="13">
        <v>10212.56</v>
      </c>
      <c r="AJ21" s="13">
        <f t="shared" si="4"/>
        <v>0</v>
      </c>
      <c r="AK21" s="12">
        <f t="shared" si="83"/>
        <v>-4.9978511268095716E-2</v>
      </c>
      <c r="AL21" s="15">
        <v>9662.48</v>
      </c>
      <c r="AM21" s="4">
        <v>0</v>
      </c>
      <c r="AN21" s="13">
        <v>8918.0499999999993</v>
      </c>
      <c r="AO21" s="13">
        <f t="shared" si="5"/>
        <v>0</v>
      </c>
      <c r="AP21" s="12">
        <f t="shared" si="84"/>
        <v>-7.7043367748238611E-2</v>
      </c>
      <c r="AQ21" s="15">
        <v>9537.14</v>
      </c>
      <c r="AR21" s="4">
        <v>0</v>
      </c>
      <c r="AS21" s="13">
        <v>8802.35</v>
      </c>
      <c r="AT21" s="13">
        <f t="shared" si="6"/>
        <v>0</v>
      </c>
      <c r="AU21" s="12">
        <f t="shared" si="85"/>
        <v>-7.7045109959589464E-2</v>
      </c>
      <c r="AV21" s="33">
        <v>8882.25</v>
      </c>
      <c r="AW21" s="4">
        <v>0</v>
      </c>
      <c r="AX21" s="13">
        <v>8281.9500000000007</v>
      </c>
      <c r="AY21" s="13">
        <f t="shared" si="7"/>
        <v>0</v>
      </c>
      <c r="AZ21" s="12">
        <f t="shared" si="86"/>
        <v>-6.7584226969517824E-2</v>
      </c>
      <c r="BB21" s="3" t="s">
        <v>9</v>
      </c>
      <c r="BC21" s="15">
        <v>4065.22</v>
      </c>
      <c r="BD21" s="4">
        <v>0</v>
      </c>
      <c r="BE21" s="13">
        <v>3862.14</v>
      </c>
      <c r="BF21" s="13">
        <f t="shared" si="8"/>
        <v>0</v>
      </c>
      <c r="BG21" s="12">
        <f t="shared" si="87"/>
        <v>-4.995547596440042E-2</v>
      </c>
      <c r="BH21" s="15">
        <v>3633.32</v>
      </c>
      <c r="BI21" s="4">
        <v>0</v>
      </c>
      <c r="BJ21" s="13">
        <v>3516.78</v>
      </c>
      <c r="BK21" s="13">
        <f t="shared" si="9"/>
        <v>0</v>
      </c>
      <c r="BL21" s="12">
        <f t="shared" si="88"/>
        <v>-3.2075347065493753E-2</v>
      </c>
      <c r="BM21" s="13">
        <v>3399.35</v>
      </c>
      <c r="BN21" s="4">
        <v>1</v>
      </c>
      <c r="BO21" s="13">
        <v>3229.53</v>
      </c>
      <c r="BP21" s="13">
        <f t="shared" si="10"/>
        <v>3229.53</v>
      </c>
      <c r="BQ21" s="12">
        <f t="shared" si="89"/>
        <v>-4.9956609351787806E-2</v>
      </c>
      <c r="BR21" s="13">
        <v>3023.55</v>
      </c>
      <c r="BS21" s="4">
        <v>0</v>
      </c>
      <c r="BT21" s="13">
        <v>2872.51</v>
      </c>
      <c r="BU21" s="13">
        <f t="shared" si="11"/>
        <v>0</v>
      </c>
      <c r="BV21" s="12">
        <f t="shared" si="90"/>
        <v>-4.9954523655967309E-2</v>
      </c>
      <c r="BW21" s="15">
        <v>3009.7</v>
      </c>
      <c r="BX21" s="4">
        <v>0</v>
      </c>
      <c r="BY21" s="13">
        <v>2859.35</v>
      </c>
      <c r="BZ21" s="13">
        <f t="shared" si="12"/>
        <v>0</v>
      </c>
      <c r="CA21" s="12">
        <f t="shared" si="91"/>
        <v>-4.9955145031066239E-2</v>
      </c>
      <c r="CB21" s="15">
        <v>2837.07</v>
      </c>
      <c r="CC21" s="4">
        <v>0</v>
      </c>
      <c r="CD21" s="13">
        <v>2695.35</v>
      </c>
      <c r="CE21" s="13">
        <f t="shared" si="13"/>
        <v>0</v>
      </c>
      <c r="CF21" s="12">
        <f t="shared" si="92"/>
        <v>-4.9952944410959321E-2</v>
      </c>
      <c r="CH21" s="3" t="s">
        <v>9</v>
      </c>
      <c r="CI21" s="13">
        <v>12236.47</v>
      </c>
      <c r="CJ21" s="4">
        <v>0</v>
      </c>
      <c r="CK21" s="13">
        <v>11676.13</v>
      </c>
      <c r="CL21" s="13">
        <f t="shared" si="14"/>
        <v>0</v>
      </c>
      <c r="CM21" s="12">
        <f t="shared" si="93"/>
        <v>-4.5792618295962817E-2</v>
      </c>
      <c r="CN21" s="15">
        <v>10759.14</v>
      </c>
      <c r="CO21" s="4">
        <v>0</v>
      </c>
      <c r="CP21" s="13">
        <v>10266.44</v>
      </c>
      <c r="CQ21" s="13">
        <f t="shared" si="15"/>
        <v>0</v>
      </c>
      <c r="CR21" s="12">
        <f t="shared" si="94"/>
        <v>-4.5793622910381249E-2</v>
      </c>
      <c r="CS21" s="13">
        <v>10155.219999999999</v>
      </c>
      <c r="CT21" s="4">
        <v>0</v>
      </c>
      <c r="CU21" s="13">
        <v>9690.2000000000007</v>
      </c>
      <c r="CV21" s="13">
        <f t="shared" si="16"/>
        <v>0</v>
      </c>
      <c r="CW21" s="12">
        <f t="shared" si="95"/>
        <v>-4.5791228550439933E-2</v>
      </c>
      <c r="CX21" s="13">
        <v>9030.52</v>
      </c>
      <c r="CY21" s="4">
        <v>0</v>
      </c>
      <c r="CZ21" s="13">
        <v>8457.2900000000009</v>
      </c>
      <c r="DA21" s="13">
        <f t="shared" si="17"/>
        <v>0</v>
      </c>
      <c r="DB21" s="12">
        <f t="shared" si="96"/>
        <v>-6.3476964781651546E-2</v>
      </c>
      <c r="DC21" s="15">
        <v>8902.51</v>
      </c>
      <c r="DD21" s="4">
        <v>0</v>
      </c>
      <c r="DE21" s="13">
        <v>8337.41</v>
      </c>
      <c r="DF21" s="13">
        <f t="shared" si="18"/>
        <v>0</v>
      </c>
      <c r="DG21" s="12">
        <f t="shared" si="97"/>
        <v>-6.3476480228609744E-2</v>
      </c>
      <c r="DH21" s="13">
        <v>8391.1299999999992</v>
      </c>
      <c r="DI21" s="4">
        <v>0</v>
      </c>
      <c r="DJ21" s="13">
        <v>7858.48</v>
      </c>
      <c r="DK21" s="13">
        <f t="shared" si="19"/>
        <v>0</v>
      </c>
      <c r="DL21" s="12">
        <f t="shared" si="98"/>
        <v>-6.3477743760375516E-2</v>
      </c>
      <c r="DN21" s="3" t="s">
        <v>9</v>
      </c>
      <c r="DO21" s="13">
        <v>22536.639999999999</v>
      </c>
      <c r="DP21" s="4">
        <v>0</v>
      </c>
      <c r="DQ21" s="13">
        <v>22539.3</v>
      </c>
      <c r="DR21" s="13">
        <f t="shared" si="20"/>
        <v>0</v>
      </c>
      <c r="DS21" s="20">
        <f t="shared" si="99"/>
        <v>1.1803001689703052E-4</v>
      </c>
      <c r="DU21" s="3" t="s">
        <v>9</v>
      </c>
      <c r="DV21" s="13">
        <v>17958.419999999998</v>
      </c>
      <c r="DW21" s="4">
        <v>0</v>
      </c>
      <c r="DX21" s="13">
        <v>17960.54</v>
      </c>
      <c r="DY21" s="13">
        <f t="shared" si="21"/>
        <v>0</v>
      </c>
      <c r="DZ21" s="20">
        <f t="shared" si="100"/>
        <v>1.1805047437363214E-4</v>
      </c>
      <c r="EB21" s="3" t="s">
        <v>9</v>
      </c>
      <c r="EC21" s="13">
        <v>17958.419999999998</v>
      </c>
      <c r="ED21" s="4">
        <v>0</v>
      </c>
      <c r="EE21" s="13">
        <v>17960.54</v>
      </c>
      <c r="EF21" s="13">
        <f t="shared" si="22"/>
        <v>0</v>
      </c>
      <c r="EG21" s="20">
        <f t="shared" si="101"/>
        <v>1.1805047437363214E-4</v>
      </c>
      <c r="EI21" s="3" t="s">
        <v>9</v>
      </c>
      <c r="EJ21" s="13">
        <v>21966.82</v>
      </c>
      <c r="EK21" s="4">
        <v>0</v>
      </c>
      <c r="EL21" s="13">
        <v>21115.98</v>
      </c>
      <c r="EM21" s="13">
        <f t="shared" si="102"/>
        <v>0</v>
      </c>
      <c r="EN21" s="20">
        <f t="shared" si="103"/>
        <v>-3.8732961803301547E-2</v>
      </c>
      <c r="EO21" s="13">
        <v>11302.06</v>
      </c>
      <c r="EP21" s="4">
        <v>0</v>
      </c>
      <c r="EQ21" s="13">
        <v>10171.86</v>
      </c>
      <c r="ER21" s="13">
        <f t="shared" si="104"/>
        <v>0</v>
      </c>
      <c r="ES21" s="20">
        <f t="shared" si="105"/>
        <v>-9.9999469123327911E-2</v>
      </c>
      <c r="ET21" s="13">
        <v>14759.38</v>
      </c>
      <c r="EU21" s="4">
        <v>0</v>
      </c>
      <c r="EV21" s="13">
        <v>14574.31</v>
      </c>
      <c r="EW21" s="13">
        <f t="shared" si="106"/>
        <v>0</v>
      </c>
      <c r="EX21" s="20">
        <f t="shared" si="107"/>
        <v>-1.2539144598214813E-2</v>
      </c>
      <c r="EY21" s="15">
        <v>11519.48</v>
      </c>
      <c r="EZ21" s="4">
        <v>0</v>
      </c>
      <c r="FA21" s="13">
        <v>10872.79</v>
      </c>
      <c r="FB21" s="13">
        <f t="shared" si="108"/>
        <v>0</v>
      </c>
      <c r="FC21" s="20">
        <f t="shared" si="109"/>
        <v>-5.6138818766124698E-2</v>
      </c>
      <c r="FD21" s="15">
        <v>10409.94</v>
      </c>
      <c r="FE21" s="4">
        <v>0</v>
      </c>
      <c r="FF21" s="13">
        <v>9916.1299999999992</v>
      </c>
      <c r="FG21" s="13">
        <f t="shared" si="110"/>
        <v>0</v>
      </c>
      <c r="FH21" s="20">
        <f t="shared" si="111"/>
        <v>-4.7436392524837001E-2</v>
      </c>
      <c r="FI21" s="13">
        <v>9989.52</v>
      </c>
      <c r="FJ21" s="4">
        <v>0</v>
      </c>
      <c r="FK21" s="13">
        <v>9989.9</v>
      </c>
      <c r="FL21" s="13">
        <f t="shared" si="112"/>
        <v>0</v>
      </c>
      <c r="FM21" s="20">
        <f t="shared" si="113"/>
        <v>3.8039865779326831E-5</v>
      </c>
      <c r="FN21" s="13">
        <v>9989.52</v>
      </c>
      <c r="FO21" s="4">
        <v>0</v>
      </c>
      <c r="FP21" s="13">
        <v>8991.42</v>
      </c>
      <c r="FQ21" s="13">
        <f t="shared" si="114"/>
        <v>0</v>
      </c>
      <c r="FR21" s="20">
        <f t="shared" si="115"/>
        <v>-9.991471061672641E-2</v>
      </c>
      <c r="FS21" s="13">
        <v>9989.52</v>
      </c>
      <c r="FT21" s="4">
        <v>0</v>
      </c>
      <c r="FU21" s="13">
        <v>9515.65</v>
      </c>
      <c r="FV21" s="13">
        <f t="shared" si="116"/>
        <v>0</v>
      </c>
      <c r="FW21" s="20">
        <f t="shared" si="117"/>
        <v>-4.7436713675932496E-2</v>
      </c>
      <c r="FX21" s="15">
        <v>11418.15</v>
      </c>
      <c r="FY21" s="4">
        <v>0</v>
      </c>
      <c r="FZ21" s="13">
        <v>10577.43</v>
      </c>
      <c r="GA21" s="13">
        <f t="shared" si="118"/>
        <v>0</v>
      </c>
      <c r="GB21" s="20">
        <f t="shared" si="119"/>
        <v>-7.3630141485266809E-2</v>
      </c>
      <c r="GC21" s="13">
        <v>9418.81</v>
      </c>
      <c r="GD21" s="4">
        <v>0</v>
      </c>
      <c r="GE21" s="13">
        <v>8890.06</v>
      </c>
      <c r="GF21" s="13">
        <f t="shared" si="120"/>
        <v>0</v>
      </c>
      <c r="GG21" s="20">
        <f t="shared" si="121"/>
        <v>-5.6137664949181487E-2</v>
      </c>
      <c r="GH21" s="15">
        <v>10640.67</v>
      </c>
      <c r="GI21" s="4">
        <v>0</v>
      </c>
      <c r="GJ21" s="13">
        <v>10043.34</v>
      </c>
      <c r="GK21" s="13">
        <f t="shared" si="122"/>
        <v>0</v>
      </c>
      <c r="GL21" s="20">
        <f t="shared" si="123"/>
        <v>-5.6136502682631817E-2</v>
      </c>
      <c r="GM21" s="15">
        <v>8380.2099999999991</v>
      </c>
      <c r="GN21" s="4">
        <v>0</v>
      </c>
      <c r="GO21" s="13">
        <v>7763.18</v>
      </c>
      <c r="GP21" s="13">
        <f t="shared" si="124"/>
        <v>0</v>
      </c>
      <c r="GQ21" s="20">
        <f t="shared" si="125"/>
        <v>-7.3629419787809458E-2</v>
      </c>
      <c r="GR21" s="13">
        <v>18217.05</v>
      </c>
      <c r="GS21" s="4">
        <v>0</v>
      </c>
      <c r="GT21" s="13">
        <v>17671.560000000001</v>
      </c>
      <c r="GU21" s="13">
        <f t="shared" si="126"/>
        <v>0</v>
      </c>
      <c r="GV21" s="20">
        <f t="shared" si="127"/>
        <v>-2.9943926157088963E-2</v>
      </c>
      <c r="GW21" s="15">
        <v>8271.5</v>
      </c>
      <c r="GX21" s="4">
        <v>0</v>
      </c>
      <c r="GY21" s="13">
        <v>7662.47</v>
      </c>
      <c r="GZ21" s="13">
        <f t="shared" si="128"/>
        <v>0</v>
      </c>
      <c r="HA21" s="20">
        <f t="shared" si="129"/>
        <v>-7.3629934111104411E-2</v>
      </c>
      <c r="HB21" s="15">
        <v>10980.06</v>
      </c>
      <c r="HC21" s="4">
        <v>0</v>
      </c>
      <c r="HD21" s="13">
        <v>10171.61</v>
      </c>
      <c r="HE21" s="13">
        <f t="shared" si="130"/>
        <v>0</v>
      </c>
      <c r="HF21" s="20">
        <f t="shared" si="131"/>
        <v>-7.3628923703513371E-2</v>
      </c>
      <c r="HG21" s="15">
        <v>7782.47</v>
      </c>
      <c r="HH21" s="4">
        <v>0</v>
      </c>
      <c r="HI21" s="13">
        <v>7209.45</v>
      </c>
      <c r="HJ21" s="13">
        <f t="shared" si="132"/>
        <v>0</v>
      </c>
      <c r="HK21" s="20">
        <f t="shared" si="133"/>
        <v>-7.36295803260405E-2</v>
      </c>
      <c r="HL21" s="13">
        <v>7872.75</v>
      </c>
      <c r="HM21" s="4">
        <v>0</v>
      </c>
      <c r="HN21" s="13">
        <v>7085.81</v>
      </c>
      <c r="HO21" s="13">
        <f t="shared" si="134"/>
        <v>0</v>
      </c>
      <c r="HP21" s="20">
        <f t="shared" si="135"/>
        <v>-9.9957448159791684E-2</v>
      </c>
      <c r="HQ21" s="13">
        <v>7872.75</v>
      </c>
      <c r="HR21" s="4">
        <v>0</v>
      </c>
      <c r="HS21" s="13">
        <v>7293.09</v>
      </c>
      <c r="HT21" s="13">
        <f t="shared" si="136"/>
        <v>0</v>
      </c>
      <c r="HU21" s="20">
        <f t="shared" si="137"/>
        <v>-7.3628655806420862E-2</v>
      </c>
      <c r="HV21" s="13">
        <v>19790.89</v>
      </c>
      <c r="HW21" s="4">
        <v>0</v>
      </c>
      <c r="HX21" s="13">
        <v>19542.740000000002</v>
      </c>
      <c r="HY21" s="13">
        <f t="shared" si="138"/>
        <v>0</v>
      </c>
      <c r="HZ21" s="20">
        <f t="shared" si="139"/>
        <v>-1.2538597304112997E-2</v>
      </c>
      <c r="IB21" s="3" t="s">
        <v>9</v>
      </c>
      <c r="IC21" s="15">
        <v>6646.24</v>
      </c>
      <c r="ID21" s="4">
        <v>0</v>
      </c>
      <c r="IE21" s="13">
        <v>6377.45</v>
      </c>
      <c r="IF21" s="13">
        <f t="shared" si="23"/>
        <v>0</v>
      </c>
      <c r="IG21" s="20">
        <f t="shared" si="140"/>
        <v>-4.044241556127981E-2</v>
      </c>
      <c r="IH21" s="13">
        <v>3516.51</v>
      </c>
      <c r="II21" s="4">
        <v>0</v>
      </c>
      <c r="IJ21" s="13">
        <v>3164.83</v>
      </c>
      <c r="IK21" s="13">
        <f t="shared" si="24"/>
        <v>0</v>
      </c>
      <c r="IL21" s="20">
        <f t="shared" si="141"/>
        <v>-0.10000824681289122</v>
      </c>
      <c r="IM21" s="13">
        <v>4229.1899999999996</v>
      </c>
      <c r="IN21" s="4">
        <v>0</v>
      </c>
      <c r="IO21" s="13">
        <v>4170.78</v>
      </c>
      <c r="IP21" s="13">
        <f t="shared" si="25"/>
        <v>0</v>
      </c>
      <c r="IQ21" s="20">
        <f t="shared" si="142"/>
        <v>-1.3811155327615898E-2</v>
      </c>
      <c r="IR21" s="13">
        <v>3537.44</v>
      </c>
      <c r="IS21" s="4">
        <v>0</v>
      </c>
      <c r="IT21" s="13">
        <v>3331.68</v>
      </c>
      <c r="IU21" s="13">
        <f t="shared" si="26"/>
        <v>0</v>
      </c>
      <c r="IV21" s="20">
        <f t="shared" si="143"/>
        <v>-5.8166357591930895E-2</v>
      </c>
      <c r="IW21" s="15">
        <v>2963.4</v>
      </c>
      <c r="IX21" s="4">
        <v>0</v>
      </c>
      <c r="IY21" s="13">
        <v>2791.01</v>
      </c>
      <c r="IZ21" s="13">
        <f t="shared" si="27"/>
        <v>0</v>
      </c>
      <c r="JA21" s="20">
        <f t="shared" si="144"/>
        <v>-5.8173044475939739E-2</v>
      </c>
      <c r="JB21" s="13">
        <v>3161.61</v>
      </c>
      <c r="JC21" s="4">
        <v>0</v>
      </c>
      <c r="JD21" s="13">
        <v>3161.68</v>
      </c>
      <c r="JE21" s="13">
        <f t="shared" si="28"/>
        <v>0</v>
      </c>
      <c r="JF21" s="20">
        <f t="shared" si="145"/>
        <v>2.2140618229249398E-5</v>
      </c>
      <c r="JG21" s="13">
        <v>3161.61</v>
      </c>
      <c r="JH21" s="4">
        <v>0</v>
      </c>
      <c r="JI21" s="13">
        <v>2845.47</v>
      </c>
      <c r="JJ21" s="13">
        <f t="shared" si="29"/>
        <v>0</v>
      </c>
      <c r="JK21" s="20">
        <f t="shared" si="146"/>
        <v>-9.9993357814531336E-2</v>
      </c>
      <c r="JL21" s="13">
        <v>3161.61</v>
      </c>
      <c r="JM21" s="4">
        <v>0</v>
      </c>
      <c r="JN21" s="13">
        <v>3033.75</v>
      </c>
      <c r="JO21" s="13">
        <f t="shared" si="30"/>
        <v>0</v>
      </c>
      <c r="JP21" s="20">
        <f t="shared" si="147"/>
        <v>-4.0441420668583472E-2</v>
      </c>
      <c r="JQ21" s="15">
        <v>3643</v>
      </c>
      <c r="JR21" s="4">
        <v>0</v>
      </c>
      <c r="JS21" s="13">
        <v>3431.1</v>
      </c>
      <c r="JT21" s="13">
        <f t="shared" si="31"/>
        <v>0</v>
      </c>
      <c r="JU21" s="20">
        <f t="shared" si="148"/>
        <v>-5.8166346417787618E-2</v>
      </c>
      <c r="JV21" s="15">
        <v>2958.01</v>
      </c>
      <c r="JW21" s="4">
        <v>0</v>
      </c>
      <c r="JX21" s="13">
        <v>2785.95</v>
      </c>
      <c r="JY21" s="13">
        <f t="shared" si="32"/>
        <v>0</v>
      </c>
      <c r="JZ21" s="20">
        <f t="shared" si="149"/>
        <v>-5.816748422081075E-2</v>
      </c>
      <c r="KA21" s="13">
        <v>3394.47</v>
      </c>
      <c r="KB21" s="4">
        <v>0</v>
      </c>
      <c r="KC21" s="13">
        <v>3227.25</v>
      </c>
      <c r="KD21" s="13">
        <f t="shared" si="33"/>
        <v>0</v>
      </c>
      <c r="KE21" s="20">
        <f t="shared" si="150"/>
        <v>-4.9262476910975739E-2</v>
      </c>
      <c r="KF21" s="15">
        <v>2631.01</v>
      </c>
      <c r="KG21" s="4">
        <v>0</v>
      </c>
      <c r="KH21" s="13">
        <v>2477.9699999999998</v>
      </c>
      <c r="KI21" s="13">
        <f t="shared" si="34"/>
        <v>0</v>
      </c>
      <c r="KJ21" s="20">
        <f t="shared" si="151"/>
        <v>-5.8167775873143923E-2</v>
      </c>
      <c r="KK21" s="15">
        <v>4378.7700000000004</v>
      </c>
      <c r="KL21" s="4">
        <v>0</v>
      </c>
      <c r="KM21" s="13">
        <v>4318.29</v>
      </c>
      <c r="KN21" s="13">
        <f t="shared" si="35"/>
        <v>0</v>
      </c>
      <c r="KO21" s="20">
        <f t="shared" si="152"/>
        <v>-1.3812097917908606E-2</v>
      </c>
      <c r="KP21" s="15">
        <v>2618.96</v>
      </c>
      <c r="KQ21" s="4">
        <v>0</v>
      </c>
      <c r="KR21" s="13">
        <v>2466.62</v>
      </c>
      <c r="KS21" s="13">
        <f t="shared" si="36"/>
        <v>0</v>
      </c>
      <c r="KT21" s="20">
        <f t="shared" si="153"/>
        <v>-5.8168127806457526E-2</v>
      </c>
      <c r="KU21" s="13">
        <v>3335.92</v>
      </c>
      <c r="KV21" s="4">
        <v>0</v>
      </c>
      <c r="KW21" s="13">
        <v>3141.88</v>
      </c>
      <c r="KX21" s="13">
        <f t="shared" si="37"/>
        <v>0</v>
      </c>
      <c r="KY21" s="20">
        <f t="shared" si="154"/>
        <v>-5.8166862514688611E-2</v>
      </c>
      <c r="KZ21" s="15">
        <v>2468.7399999999998</v>
      </c>
      <c r="LA21" s="4">
        <v>0</v>
      </c>
      <c r="LB21" s="13">
        <v>2325.14</v>
      </c>
      <c r="LC21" s="13">
        <f t="shared" si="38"/>
        <v>0</v>
      </c>
      <c r="LD21" s="20">
        <f t="shared" si="155"/>
        <v>-5.8167324222072714E-2</v>
      </c>
      <c r="LE21" s="13">
        <v>2473.85</v>
      </c>
      <c r="LF21" s="4">
        <v>0</v>
      </c>
      <c r="LG21" s="13">
        <v>2226.75</v>
      </c>
      <c r="LH21" s="13">
        <f t="shared" si="39"/>
        <v>0</v>
      </c>
      <c r="LI21" s="20">
        <f t="shared" si="156"/>
        <v>-9.9884794955231726E-2</v>
      </c>
      <c r="LJ21" s="13">
        <v>2473.85</v>
      </c>
      <c r="LK21" s="4">
        <v>0</v>
      </c>
      <c r="LL21" s="13">
        <v>2329.9499999999998</v>
      </c>
      <c r="LM21" s="13">
        <f t="shared" si="40"/>
        <v>0</v>
      </c>
      <c r="LN21" s="20">
        <f t="shared" si="157"/>
        <v>-5.8168441902298085E-2</v>
      </c>
      <c r="LO21" s="15">
        <v>5033.84</v>
      </c>
      <c r="LP21" s="4">
        <v>0</v>
      </c>
      <c r="LQ21" s="13">
        <v>4785.8599999999997</v>
      </c>
      <c r="LR21" s="13">
        <f t="shared" si="41"/>
        <v>0</v>
      </c>
      <c r="LS21" s="20">
        <f t="shared" si="158"/>
        <v>-4.9262590785563387E-2</v>
      </c>
      <c r="LU21" s="3" t="s">
        <v>9</v>
      </c>
      <c r="LV21" s="13">
        <v>19927.79</v>
      </c>
      <c r="LW21" s="4">
        <v>0</v>
      </c>
      <c r="LX21" s="13">
        <v>19171.169999999998</v>
      </c>
      <c r="LY21" s="13">
        <f t="shared" si="42"/>
        <v>0</v>
      </c>
      <c r="LZ21" s="12">
        <f t="shared" si="159"/>
        <v>-3.7968083766438898E-2</v>
      </c>
      <c r="MA21" s="13">
        <v>10625.49</v>
      </c>
      <c r="MB21" s="4">
        <v>0</v>
      </c>
      <c r="MC21" s="13">
        <v>9563.34</v>
      </c>
      <c r="MD21" s="13">
        <f t="shared" si="43"/>
        <v>0</v>
      </c>
      <c r="ME21" s="12">
        <f t="shared" si="160"/>
        <v>-9.9962448790596903E-2</v>
      </c>
      <c r="MF21" s="13">
        <v>12975.9</v>
      </c>
      <c r="MG21" s="4">
        <v>0</v>
      </c>
      <c r="MH21" s="13">
        <v>12712.46</v>
      </c>
      <c r="MI21" s="13">
        <f t="shared" si="44"/>
        <v>0</v>
      </c>
      <c r="MJ21" s="12">
        <f t="shared" si="161"/>
        <v>-2.0302252637582008E-2</v>
      </c>
      <c r="MK21" s="15">
        <v>10682.31</v>
      </c>
      <c r="ML21" s="4">
        <v>0</v>
      </c>
      <c r="MM21" s="13">
        <v>10182.85</v>
      </c>
      <c r="MN21" s="13">
        <f t="shared" si="45"/>
        <v>0</v>
      </c>
      <c r="MO21" s="12">
        <f t="shared" si="162"/>
        <v>-4.6755804690183922E-2</v>
      </c>
      <c r="MP21" s="13">
        <v>10277.370000000001</v>
      </c>
      <c r="MQ21" s="4">
        <v>0</v>
      </c>
      <c r="MR21" s="13">
        <v>9887.16</v>
      </c>
      <c r="MS21" s="13">
        <f t="shared" si="46"/>
        <v>0</v>
      </c>
      <c r="MT21" s="12">
        <f t="shared" si="163"/>
        <v>-3.7967884779861127E-2</v>
      </c>
      <c r="MU21" s="13">
        <v>9392.61</v>
      </c>
      <c r="MV21" s="4">
        <v>0</v>
      </c>
      <c r="MW21" s="13">
        <v>9393.4</v>
      </c>
      <c r="MX21" s="13">
        <f t="shared" si="47"/>
        <v>0</v>
      </c>
      <c r="MY21" s="12">
        <f t="shared" si="164"/>
        <v>8.4108676927874271E-5</v>
      </c>
      <c r="MZ21" s="13">
        <v>9392.61</v>
      </c>
      <c r="NA21" s="4">
        <v>0</v>
      </c>
      <c r="NB21" s="13">
        <v>8453.7000000000007</v>
      </c>
      <c r="NC21" s="13">
        <f t="shared" si="48"/>
        <v>0</v>
      </c>
      <c r="ND21" s="12">
        <f t="shared" si="165"/>
        <v>-9.9962630195440827E-2</v>
      </c>
      <c r="NE21" s="13">
        <v>9392.61</v>
      </c>
      <c r="NF21" s="4">
        <v>0</v>
      </c>
      <c r="NG21" s="13">
        <v>8953.44</v>
      </c>
      <c r="NH21" s="13">
        <f t="shared" si="49"/>
        <v>0</v>
      </c>
      <c r="NI21" s="12">
        <f t="shared" si="166"/>
        <v>-4.6756971704350558E-2</v>
      </c>
      <c r="NJ21" s="13">
        <v>10806.32</v>
      </c>
      <c r="NK21" s="4">
        <v>0</v>
      </c>
      <c r="NL21" s="13">
        <v>10110.17</v>
      </c>
      <c r="NM21" s="13">
        <f t="shared" si="50"/>
        <v>0</v>
      </c>
      <c r="NN21" s="12">
        <f t="shared" si="167"/>
        <v>-6.4420635331916887E-2</v>
      </c>
      <c r="NO21" s="13">
        <v>8865.41</v>
      </c>
      <c r="NP21" s="4">
        <v>0</v>
      </c>
      <c r="NQ21" s="13">
        <v>8450.89</v>
      </c>
      <c r="NR21" s="13">
        <f t="shared" si="51"/>
        <v>0</v>
      </c>
      <c r="NS21" s="12">
        <f t="shared" si="168"/>
        <v>-4.6757002778213375E-2</v>
      </c>
      <c r="NT21" s="13">
        <v>10068</v>
      </c>
      <c r="NU21" s="4">
        <v>0</v>
      </c>
      <c r="NV21" s="13">
        <v>9597.27</v>
      </c>
      <c r="NW21" s="13">
        <f t="shared" si="52"/>
        <v>0</v>
      </c>
      <c r="NX21" s="12">
        <f t="shared" si="169"/>
        <v>-4.6755065554231146E-2</v>
      </c>
      <c r="NY21" s="13">
        <v>7883.55</v>
      </c>
      <c r="NZ21" s="4">
        <v>0</v>
      </c>
      <c r="OA21" s="13">
        <v>7375.67</v>
      </c>
      <c r="OB21" s="13">
        <f t="shared" si="53"/>
        <v>0</v>
      </c>
      <c r="OC21" s="12">
        <f t="shared" si="170"/>
        <v>-6.4422753708671898E-2</v>
      </c>
      <c r="OD21" s="15">
        <v>14499.31</v>
      </c>
      <c r="OE21" s="4">
        <v>0</v>
      </c>
      <c r="OF21" s="13">
        <v>14204.96</v>
      </c>
      <c r="OG21" s="13">
        <f t="shared" si="54"/>
        <v>0</v>
      </c>
      <c r="OH21" s="12">
        <f t="shared" si="171"/>
        <v>-2.0300966045970537E-2</v>
      </c>
      <c r="OI21" s="15">
        <v>7771.79</v>
      </c>
      <c r="OJ21" s="4">
        <v>0</v>
      </c>
      <c r="OK21" s="13">
        <v>7271.12</v>
      </c>
      <c r="OL21" s="13">
        <f t="shared" si="55"/>
        <v>0</v>
      </c>
      <c r="OM21" s="12">
        <f t="shared" si="172"/>
        <v>-6.4421452458185313E-2</v>
      </c>
      <c r="ON21" s="13">
        <v>9879.85</v>
      </c>
      <c r="OO21" s="4">
        <v>0</v>
      </c>
      <c r="OP21" s="13">
        <v>9243.3700000000008</v>
      </c>
      <c r="OQ21" s="13">
        <f t="shared" si="56"/>
        <v>0</v>
      </c>
      <c r="OR21" s="12">
        <f t="shared" si="173"/>
        <v>-6.4422030698846555E-2</v>
      </c>
      <c r="OS21" s="13">
        <v>7325.36</v>
      </c>
      <c r="OT21" s="4">
        <v>0</v>
      </c>
      <c r="OU21" s="13">
        <v>6853.45</v>
      </c>
      <c r="OV21" s="13">
        <f t="shared" si="57"/>
        <v>0</v>
      </c>
      <c r="OW21" s="12">
        <f t="shared" si="174"/>
        <v>-6.4421407275546905E-2</v>
      </c>
      <c r="OX21" s="13">
        <v>7414.44</v>
      </c>
      <c r="OY21" s="4">
        <v>0</v>
      </c>
      <c r="OZ21" s="13">
        <v>6673.28</v>
      </c>
      <c r="PA21" s="13">
        <f t="shared" si="58"/>
        <v>0</v>
      </c>
      <c r="PB21" s="12">
        <f t="shared" si="175"/>
        <v>-9.9961696365470587E-2</v>
      </c>
      <c r="PC21" s="13">
        <v>7414.44</v>
      </c>
      <c r="PD21" s="4">
        <v>0</v>
      </c>
      <c r="PE21" s="13">
        <v>7067.77</v>
      </c>
      <c r="PF21" s="13">
        <f t="shared" si="59"/>
        <v>0</v>
      </c>
      <c r="PG21" s="12">
        <f t="shared" si="176"/>
        <v>-4.6756059796828731E-2</v>
      </c>
      <c r="PH21" s="13">
        <v>14939.5</v>
      </c>
      <c r="PI21" s="4">
        <v>0</v>
      </c>
      <c r="PJ21" s="13">
        <v>14372.29</v>
      </c>
      <c r="PK21" s="13">
        <f t="shared" si="60"/>
        <v>0</v>
      </c>
      <c r="PL21" s="12">
        <f t="shared" si="177"/>
        <v>-3.7967134107567135E-2</v>
      </c>
      <c r="PN21" s="3" t="s">
        <v>9</v>
      </c>
      <c r="PO21" s="15">
        <v>18697.650000000001</v>
      </c>
      <c r="PP21" s="4"/>
      <c r="PQ21" s="13"/>
      <c r="PR21" s="13">
        <f t="shared" si="61"/>
        <v>0</v>
      </c>
      <c r="PS21" s="12">
        <f t="shared" si="178"/>
        <v>-1</v>
      </c>
      <c r="PT21" s="13">
        <v>9969.58</v>
      </c>
      <c r="PU21" s="4">
        <v>0</v>
      </c>
      <c r="PV21" s="13"/>
      <c r="PW21" s="13">
        <f t="shared" si="62"/>
        <v>0</v>
      </c>
      <c r="PX21" s="12">
        <f t="shared" si="179"/>
        <v>-1</v>
      </c>
      <c r="PY21" s="13">
        <v>12174.9</v>
      </c>
      <c r="PZ21" s="4">
        <v>0</v>
      </c>
      <c r="QA21" s="13"/>
      <c r="QB21" s="13">
        <f t="shared" si="63"/>
        <v>0</v>
      </c>
      <c r="QC21" s="12">
        <f t="shared" si="180"/>
        <v>-1</v>
      </c>
      <c r="QD21" s="15">
        <v>10022.89</v>
      </c>
      <c r="QE21" s="4"/>
      <c r="QF21" s="13"/>
      <c r="QG21" s="13">
        <f t="shared" si="64"/>
        <v>0</v>
      </c>
      <c r="QH21" s="12">
        <f t="shared" si="181"/>
        <v>-1</v>
      </c>
      <c r="QI21" s="15">
        <v>9642.9500000000007</v>
      </c>
      <c r="QJ21" s="4"/>
      <c r="QK21" s="13"/>
      <c r="QL21" s="13">
        <f t="shared" si="65"/>
        <v>0</v>
      </c>
      <c r="QM21" s="12">
        <f t="shared" si="182"/>
        <v>-1</v>
      </c>
      <c r="QN21" s="15">
        <v>8812.81</v>
      </c>
      <c r="QO21" s="4"/>
      <c r="QP21" s="13"/>
      <c r="QQ21" s="13">
        <f t="shared" si="66"/>
        <v>0</v>
      </c>
      <c r="QR21" s="12">
        <f t="shared" si="183"/>
        <v>-1</v>
      </c>
      <c r="QS21" s="15">
        <v>10139.25</v>
      </c>
      <c r="QT21" s="4"/>
      <c r="QU21" s="13"/>
      <c r="QV21" s="13">
        <f t="shared" si="67"/>
        <v>0</v>
      </c>
      <c r="QW21" s="12">
        <f t="shared" si="184"/>
        <v>-1</v>
      </c>
      <c r="QX21" s="15">
        <v>8318.15</v>
      </c>
      <c r="QY21" s="4"/>
      <c r="QZ21" s="13"/>
      <c r="RA21" s="13">
        <f t="shared" si="68"/>
        <v>0</v>
      </c>
      <c r="RB21" s="12">
        <f t="shared" si="185"/>
        <v>-1</v>
      </c>
      <c r="RC21" s="15">
        <v>9446.51</v>
      </c>
      <c r="RD21" s="4"/>
      <c r="RE21" s="13"/>
      <c r="RF21" s="13">
        <f t="shared" si="69"/>
        <v>0</v>
      </c>
      <c r="RG21" s="12">
        <f t="shared" si="186"/>
        <v>-1</v>
      </c>
      <c r="RH21" s="15">
        <v>7396.9</v>
      </c>
      <c r="RI21" s="4"/>
      <c r="RJ21" s="13"/>
      <c r="RK21" s="13">
        <f t="shared" si="70"/>
        <v>0</v>
      </c>
      <c r="RL21" s="12">
        <f t="shared" si="187"/>
        <v>-1</v>
      </c>
      <c r="RM21" s="15">
        <v>13604.27</v>
      </c>
      <c r="RN21" s="4"/>
      <c r="RO21" s="13"/>
      <c r="RP21" s="13">
        <f t="shared" si="71"/>
        <v>0</v>
      </c>
      <c r="RQ21" s="12">
        <f t="shared" si="188"/>
        <v>-1</v>
      </c>
      <c r="RR21" s="15">
        <v>7292.04</v>
      </c>
      <c r="RS21" s="4"/>
      <c r="RT21" s="13"/>
      <c r="RU21" s="13">
        <f t="shared" si="72"/>
        <v>0</v>
      </c>
      <c r="RV21" s="12">
        <f t="shared" si="189"/>
        <v>-1</v>
      </c>
      <c r="RW21" s="15">
        <v>9269.9699999999993</v>
      </c>
      <c r="RX21" s="4"/>
      <c r="RY21" s="13"/>
      <c r="RZ21" s="13">
        <f t="shared" si="73"/>
        <v>0</v>
      </c>
      <c r="SA21" s="12">
        <f t="shared" si="190"/>
        <v>-1</v>
      </c>
      <c r="SB21" s="15">
        <v>6873.17</v>
      </c>
      <c r="SC21" s="4"/>
      <c r="SD21" s="13"/>
      <c r="SE21" s="13">
        <f t="shared" si="74"/>
        <v>0</v>
      </c>
      <c r="SF21" s="12">
        <f t="shared" si="191"/>
        <v>-1</v>
      </c>
      <c r="SG21" s="15">
        <v>6956.75</v>
      </c>
      <c r="SH21" s="4"/>
      <c r="SI21" s="13"/>
      <c r="SJ21" s="13">
        <f t="shared" si="75"/>
        <v>0</v>
      </c>
      <c r="SK21" s="12">
        <f t="shared" si="192"/>
        <v>-1</v>
      </c>
      <c r="SL21" s="15">
        <v>14017.29</v>
      </c>
      <c r="SM21" s="4"/>
      <c r="SN21" s="13"/>
      <c r="SO21" s="13">
        <f t="shared" si="76"/>
        <v>0</v>
      </c>
      <c r="SP21" s="12">
        <f t="shared" si="193"/>
        <v>-1</v>
      </c>
    </row>
    <row r="22" spans="1:510" x14ac:dyDescent="0.25">
      <c r="A22" s="3" t="s">
        <v>10</v>
      </c>
      <c r="B22" s="13">
        <v>17993.97</v>
      </c>
      <c r="C22" s="4">
        <v>0</v>
      </c>
      <c r="D22" s="13">
        <v>16194.51</v>
      </c>
      <c r="E22" s="13">
        <f t="shared" si="77"/>
        <v>0</v>
      </c>
      <c r="F22" s="20">
        <f t="shared" si="78"/>
        <v>-0.10000350117289292</v>
      </c>
      <c r="H22" s="3" t="s">
        <v>10</v>
      </c>
      <c r="I22" s="13">
        <v>5615.32</v>
      </c>
      <c r="J22" s="4">
        <v>0</v>
      </c>
      <c r="K22" s="13">
        <v>5054</v>
      </c>
      <c r="L22" s="13">
        <f t="shared" si="0"/>
        <v>0</v>
      </c>
      <c r="M22" s="20">
        <f t="shared" si="79"/>
        <v>-9.9962246140914424E-2</v>
      </c>
      <c r="O22" s="3" t="s">
        <v>10</v>
      </c>
      <c r="P22" s="13">
        <v>16705.849999999999</v>
      </c>
      <c r="Q22" s="4">
        <v>0</v>
      </c>
      <c r="R22" s="13">
        <v>15035.22</v>
      </c>
      <c r="S22" s="13">
        <f t="shared" si="1"/>
        <v>0</v>
      </c>
      <c r="T22" s="20">
        <f t="shared" si="80"/>
        <v>-0.10000269366718839</v>
      </c>
      <c r="V22" s="3" t="s">
        <v>10</v>
      </c>
      <c r="W22" s="15">
        <v>18346.68</v>
      </c>
      <c r="X22" s="4">
        <v>0</v>
      </c>
      <c r="Y22" s="13">
        <v>17252.89</v>
      </c>
      <c r="Z22" s="13">
        <f t="shared" si="2"/>
        <v>0</v>
      </c>
      <c r="AA22" s="12">
        <f t="shared" si="81"/>
        <v>-5.9617870917245019E-2</v>
      </c>
      <c r="AB22" s="15">
        <v>15909.97</v>
      </c>
      <c r="AC22" s="4">
        <v>0</v>
      </c>
      <c r="AD22" s="13">
        <v>15099.39</v>
      </c>
      <c r="AE22" s="13">
        <f t="shared" si="3"/>
        <v>0</v>
      </c>
      <c r="AF22" s="12">
        <f t="shared" si="82"/>
        <v>-5.094792762022804E-2</v>
      </c>
      <c r="AG22" s="33">
        <v>14848.81</v>
      </c>
      <c r="AH22" s="4">
        <v>0</v>
      </c>
      <c r="AI22" s="13">
        <v>14106.7</v>
      </c>
      <c r="AJ22" s="13">
        <f t="shared" si="4"/>
        <v>0</v>
      </c>
      <c r="AK22" s="12">
        <f t="shared" si="83"/>
        <v>-4.9977742324132324E-2</v>
      </c>
      <c r="AL22" s="15">
        <v>13346.88</v>
      </c>
      <c r="AM22" s="4">
        <v>0</v>
      </c>
      <c r="AN22" s="13">
        <v>12318.56</v>
      </c>
      <c r="AO22" s="13">
        <f t="shared" si="5"/>
        <v>0</v>
      </c>
      <c r="AP22" s="12">
        <f t="shared" si="84"/>
        <v>-7.7045721546908363E-2</v>
      </c>
      <c r="AQ22" s="15">
        <v>13173.72</v>
      </c>
      <c r="AR22" s="4">
        <v>0</v>
      </c>
      <c r="AS22" s="13">
        <v>12158.77</v>
      </c>
      <c r="AT22" s="13">
        <f t="shared" si="6"/>
        <v>0</v>
      </c>
      <c r="AU22" s="12">
        <f t="shared" si="85"/>
        <v>-7.7043538195741168E-2</v>
      </c>
      <c r="AV22" s="33">
        <v>12269.12</v>
      </c>
      <c r="AW22" s="4">
        <v>0</v>
      </c>
      <c r="AX22" s="13">
        <v>11439.93</v>
      </c>
      <c r="AY22" s="13">
        <f t="shared" si="7"/>
        <v>0</v>
      </c>
      <c r="AZ22" s="12">
        <f t="shared" si="86"/>
        <v>-6.7583494170731062E-2</v>
      </c>
      <c r="BB22" s="3" t="s">
        <v>10</v>
      </c>
      <c r="BC22" s="15">
        <v>5615.32</v>
      </c>
      <c r="BD22" s="4">
        <v>0</v>
      </c>
      <c r="BE22" s="13">
        <v>5334.81</v>
      </c>
      <c r="BF22" s="13">
        <f t="shared" si="8"/>
        <v>0</v>
      </c>
      <c r="BG22" s="12">
        <f t="shared" si="87"/>
        <v>-4.9954410434311702E-2</v>
      </c>
      <c r="BH22" s="15">
        <v>5018.7299999999996</v>
      </c>
      <c r="BI22" s="4">
        <v>0</v>
      </c>
      <c r="BJ22" s="13">
        <v>4857.76</v>
      </c>
      <c r="BK22" s="13">
        <f t="shared" si="9"/>
        <v>0</v>
      </c>
      <c r="BL22" s="12">
        <f t="shared" si="88"/>
        <v>-3.2073851352832139E-2</v>
      </c>
      <c r="BM22" s="13">
        <v>4695.54</v>
      </c>
      <c r="BN22" s="4">
        <v>0</v>
      </c>
      <c r="BO22" s="13">
        <v>4460.9799999999996</v>
      </c>
      <c r="BP22" s="13">
        <f t="shared" si="10"/>
        <v>0</v>
      </c>
      <c r="BQ22" s="12">
        <f t="shared" si="89"/>
        <v>-4.9953785933034456E-2</v>
      </c>
      <c r="BR22" s="13">
        <v>4176.46</v>
      </c>
      <c r="BS22" s="4">
        <v>0</v>
      </c>
      <c r="BT22" s="13">
        <v>3967.82</v>
      </c>
      <c r="BU22" s="13">
        <f t="shared" si="11"/>
        <v>0</v>
      </c>
      <c r="BV22" s="12">
        <f t="shared" si="90"/>
        <v>-4.9956182987506148E-2</v>
      </c>
      <c r="BW22" s="15">
        <v>4157.32</v>
      </c>
      <c r="BX22" s="4">
        <v>0</v>
      </c>
      <c r="BY22" s="13">
        <v>3949.65</v>
      </c>
      <c r="BZ22" s="13">
        <f t="shared" si="12"/>
        <v>0</v>
      </c>
      <c r="CA22" s="12">
        <f t="shared" si="91"/>
        <v>-4.9952854242636957E-2</v>
      </c>
      <c r="CB22" s="15">
        <v>3918.87</v>
      </c>
      <c r="CC22" s="4">
        <v>0</v>
      </c>
      <c r="CD22" s="13">
        <v>3723.1</v>
      </c>
      <c r="CE22" s="13">
        <f t="shared" si="13"/>
        <v>0</v>
      </c>
      <c r="CF22" s="12">
        <f t="shared" si="92"/>
        <v>-4.9955727033558106E-2</v>
      </c>
      <c r="CH22" s="3" t="s">
        <v>10</v>
      </c>
      <c r="CI22" s="13">
        <v>16902.330000000002</v>
      </c>
      <c r="CJ22" s="4">
        <v>0</v>
      </c>
      <c r="CK22" s="13">
        <v>16128.33</v>
      </c>
      <c r="CL22" s="13">
        <f t="shared" si="14"/>
        <v>0</v>
      </c>
      <c r="CM22" s="12">
        <f t="shared" si="93"/>
        <v>-4.5792503163765153E-2</v>
      </c>
      <c r="CN22" s="15">
        <v>14861.68</v>
      </c>
      <c r="CO22" s="4">
        <v>0</v>
      </c>
      <c r="CP22" s="13">
        <v>14181.11</v>
      </c>
      <c r="CQ22" s="13">
        <f t="shared" si="15"/>
        <v>0</v>
      </c>
      <c r="CR22" s="12">
        <f t="shared" si="94"/>
        <v>-4.579361148941441E-2</v>
      </c>
      <c r="CS22" s="13">
        <v>14027.51</v>
      </c>
      <c r="CT22" s="4">
        <v>0</v>
      </c>
      <c r="CU22" s="13">
        <v>13385.14</v>
      </c>
      <c r="CV22" s="13">
        <f t="shared" si="16"/>
        <v>0</v>
      </c>
      <c r="CW22" s="12">
        <f t="shared" si="95"/>
        <v>-4.5793587030057425E-2</v>
      </c>
      <c r="CX22" s="13">
        <v>12473.92</v>
      </c>
      <c r="CY22" s="4">
        <v>0</v>
      </c>
      <c r="CZ22" s="13">
        <v>11682.13</v>
      </c>
      <c r="DA22" s="13">
        <f t="shared" si="17"/>
        <v>0</v>
      </c>
      <c r="DB22" s="12">
        <f t="shared" si="96"/>
        <v>-6.3475635566045074E-2</v>
      </c>
      <c r="DC22" s="15">
        <v>12297.1</v>
      </c>
      <c r="DD22" s="4">
        <v>0</v>
      </c>
      <c r="DE22" s="13">
        <v>11516.53</v>
      </c>
      <c r="DF22" s="13">
        <f t="shared" si="18"/>
        <v>0</v>
      </c>
      <c r="DG22" s="12">
        <f t="shared" si="97"/>
        <v>-6.3475941482138087E-2</v>
      </c>
      <c r="DH22" s="13">
        <v>11590.73</v>
      </c>
      <c r="DI22" s="4">
        <v>0</v>
      </c>
      <c r="DJ22" s="13">
        <v>10854.99</v>
      </c>
      <c r="DK22" s="13">
        <f t="shared" si="19"/>
        <v>0</v>
      </c>
      <c r="DL22" s="12">
        <f t="shared" si="98"/>
        <v>-6.3476588618663343E-2</v>
      </c>
      <c r="DN22" s="3" t="s">
        <v>10</v>
      </c>
      <c r="DO22" s="13">
        <v>31130.04</v>
      </c>
      <c r="DP22" s="4">
        <v>0</v>
      </c>
      <c r="DQ22" s="13">
        <v>31133.71</v>
      </c>
      <c r="DR22" s="13">
        <f t="shared" si="20"/>
        <v>0</v>
      </c>
      <c r="DS22" s="20">
        <f t="shared" si="99"/>
        <v>1.1789255651439845E-4</v>
      </c>
      <c r="DU22" s="3" t="s">
        <v>10</v>
      </c>
      <c r="DV22" s="13">
        <v>24806.1</v>
      </c>
      <c r="DW22" s="4">
        <v>0</v>
      </c>
      <c r="DX22" s="13">
        <v>24809.03</v>
      </c>
      <c r="DY22" s="13">
        <f t="shared" si="21"/>
        <v>0</v>
      </c>
      <c r="DZ22" s="20">
        <f t="shared" si="100"/>
        <v>1.181161085377358E-4</v>
      </c>
      <c r="EB22" s="3" t="s">
        <v>10</v>
      </c>
      <c r="EC22" s="13">
        <v>24806.1</v>
      </c>
      <c r="ED22" s="4">
        <v>0</v>
      </c>
      <c r="EE22" s="13">
        <v>24809.03</v>
      </c>
      <c r="EF22" s="13">
        <f t="shared" si="22"/>
        <v>0</v>
      </c>
      <c r="EG22" s="20">
        <f t="shared" si="101"/>
        <v>1.181161085377358E-4</v>
      </c>
      <c r="EI22" s="3" t="s">
        <v>10</v>
      </c>
      <c r="EJ22" s="13">
        <v>30342.95</v>
      </c>
      <c r="EK22" s="4">
        <v>0</v>
      </c>
      <c r="EL22" s="13">
        <v>29167.66</v>
      </c>
      <c r="EM22" s="13">
        <f t="shared" si="102"/>
        <v>0</v>
      </c>
      <c r="EN22" s="20">
        <f t="shared" si="103"/>
        <v>-3.8733544365330386E-2</v>
      </c>
      <c r="EO22" s="13">
        <v>15611.62</v>
      </c>
      <c r="EP22" s="4">
        <v>0</v>
      </c>
      <c r="EQ22" s="13">
        <v>14050.47</v>
      </c>
      <c r="ER22" s="13">
        <f t="shared" si="104"/>
        <v>0</v>
      </c>
      <c r="ES22" s="20">
        <f t="shared" si="105"/>
        <v>-9.9999231341782679E-2</v>
      </c>
      <c r="ET22" s="13">
        <v>20387.240000000002</v>
      </c>
      <c r="EU22" s="4">
        <v>0</v>
      </c>
      <c r="EV22" s="13">
        <v>20131.59</v>
      </c>
      <c r="EW22" s="13">
        <f t="shared" si="106"/>
        <v>0</v>
      </c>
      <c r="EX22" s="20">
        <f t="shared" si="107"/>
        <v>-1.2539706208393175E-2</v>
      </c>
      <c r="EY22" s="15">
        <v>15911.95</v>
      </c>
      <c r="EZ22" s="4">
        <v>0</v>
      </c>
      <c r="FA22" s="13">
        <v>15018.68</v>
      </c>
      <c r="FB22" s="13">
        <f t="shared" si="108"/>
        <v>0</v>
      </c>
      <c r="FC22" s="20">
        <f t="shared" si="109"/>
        <v>-5.6138311143511643E-2</v>
      </c>
      <c r="FD22" s="15">
        <v>14379.32</v>
      </c>
      <c r="FE22" s="4">
        <v>0</v>
      </c>
      <c r="FF22" s="13">
        <v>13697.24</v>
      </c>
      <c r="FG22" s="13">
        <f t="shared" si="110"/>
        <v>0</v>
      </c>
      <c r="FH22" s="20">
        <f t="shared" si="111"/>
        <v>-4.7434788293187702E-2</v>
      </c>
      <c r="FI22" s="13">
        <v>13798.6</v>
      </c>
      <c r="FJ22" s="4">
        <v>0</v>
      </c>
      <c r="FK22" s="13">
        <v>13799.14</v>
      </c>
      <c r="FL22" s="13">
        <f t="shared" si="112"/>
        <v>0</v>
      </c>
      <c r="FM22" s="20">
        <f t="shared" si="113"/>
        <v>3.9134404939522582E-5</v>
      </c>
      <c r="FN22" s="13">
        <v>13798.6</v>
      </c>
      <c r="FO22" s="4">
        <v>0</v>
      </c>
      <c r="FP22" s="13">
        <v>12419.93</v>
      </c>
      <c r="FQ22" s="13">
        <f t="shared" si="114"/>
        <v>0</v>
      </c>
      <c r="FR22" s="20">
        <f t="shared" si="115"/>
        <v>-9.9913759366892285E-2</v>
      </c>
      <c r="FS22" s="13">
        <v>13798.6</v>
      </c>
      <c r="FT22" s="4">
        <v>0</v>
      </c>
      <c r="FU22" s="13">
        <v>13144.06</v>
      </c>
      <c r="FV22" s="13">
        <f t="shared" si="116"/>
        <v>0</v>
      </c>
      <c r="FW22" s="20">
        <f t="shared" si="117"/>
        <v>-4.7435247054049001E-2</v>
      </c>
      <c r="FX22" s="15">
        <v>15771.97</v>
      </c>
      <c r="FY22" s="4">
        <v>0</v>
      </c>
      <c r="FZ22" s="13">
        <v>14610.7</v>
      </c>
      <c r="GA22" s="13">
        <f t="shared" si="118"/>
        <v>0</v>
      </c>
      <c r="GB22" s="20">
        <f t="shared" si="119"/>
        <v>-7.3628722347303444E-2</v>
      </c>
      <c r="GC22" s="13">
        <v>13010.28</v>
      </c>
      <c r="GD22" s="4">
        <v>0</v>
      </c>
      <c r="GE22" s="13">
        <v>12279.91</v>
      </c>
      <c r="GF22" s="13">
        <f t="shared" si="120"/>
        <v>0</v>
      </c>
      <c r="GG22" s="20">
        <f t="shared" si="121"/>
        <v>-5.6137915556006557E-2</v>
      </c>
      <c r="GH22" s="15">
        <v>14698.04</v>
      </c>
      <c r="GI22" s="4">
        <v>0</v>
      </c>
      <c r="GJ22" s="13">
        <v>13872.94</v>
      </c>
      <c r="GK22" s="13">
        <f t="shared" si="122"/>
        <v>0</v>
      </c>
      <c r="GL22" s="20">
        <f t="shared" si="123"/>
        <v>-5.6136736598893511E-2</v>
      </c>
      <c r="GM22" s="15">
        <v>11575.65</v>
      </c>
      <c r="GN22" s="4">
        <v>0</v>
      </c>
      <c r="GO22" s="13">
        <v>10723.34</v>
      </c>
      <c r="GP22" s="13">
        <f t="shared" si="124"/>
        <v>0</v>
      </c>
      <c r="GQ22" s="20">
        <f t="shared" si="125"/>
        <v>-7.3629558599301093E-2</v>
      </c>
      <c r="GR22" s="13">
        <v>25163.35</v>
      </c>
      <c r="GS22" s="4">
        <v>0</v>
      </c>
      <c r="GT22" s="13">
        <v>24409.87</v>
      </c>
      <c r="GU22" s="13">
        <f t="shared" si="126"/>
        <v>0</v>
      </c>
      <c r="GV22" s="20">
        <f t="shared" si="127"/>
        <v>-2.9943548851802282E-2</v>
      </c>
      <c r="GW22" s="15">
        <v>11425.47</v>
      </c>
      <c r="GX22" s="4">
        <v>0</v>
      </c>
      <c r="GY22" s="13">
        <v>10584.23</v>
      </c>
      <c r="GZ22" s="13">
        <f t="shared" si="128"/>
        <v>0</v>
      </c>
      <c r="HA22" s="20">
        <f t="shared" si="129"/>
        <v>-7.3628480929012086E-2</v>
      </c>
      <c r="HB22" s="15">
        <v>15166.86</v>
      </c>
      <c r="HC22" s="4">
        <v>0</v>
      </c>
      <c r="HD22" s="13">
        <v>14050.12</v>
      </c>
      <c r="HE22" s="13">
        <f t="shared" si="130"/>
        <v>0</v>
      </c>
      <c r="HF22" s="20">
        <f t="shared" si="131"/>
        <v>-7.3630270207544535E-2</v>
      </c>
      <c r="HG22" s="15">
        <v>10749.99</v>
      </c>
      <c r="HH22" s="4">
        <v>0</v>
      </c>
      <c r="HI22" s="13">
        <v>9958.48</v>
      </c>
      <c r="HJ22" s="13">
        <f t="shared" si="132"/>
        <v>0</v>
      </c>
      <c r="HK22" s="20">
        <f t="shared" si="133"/>
        <v>-7.3628905701307645E-2</v>
      </c>
      <c r="HL22" s="13">
        <v>10874.69</v>
      </c>
      <c r="HM22" s="4">
        <v>0</v>
      </c>
      <c r="HN22" s="13">
        <v>9787.68</v>
      </c>
      <c r="HO22" s="13">
        <f t="shared" si="134"/>
        <v>0</v>
      </c>
      <c r="HP22" s="20">
        <f t="shared" si="135"/>
        <v>-9.9957791900274873E-2</v>
      </c>
      <c r="HQ22" s="13">
        <v>10874.69</v>
      </c>
      <c r="HR22" s="4">
        <v>0</v>
      </c>
      <c r="HS22" s="13">
        <v>10074</v>
      </c>
      <c r="HT22" s="13">
        <f t="shared" si="136"/>
        <v>0</v>
      </c>
      <c r="HU22" s="20">
        <f t="shared" si="137"/>
        <v>-7.3628765509637595E-2</v>
      </c>
      <c r="HV22" s="13">
        <v>27337.33</v>
      </c>
      <c r="HW22" s="4">
        <v>0</v>
      </c>
      <c r="HX22" s="13">
        <v>26994.55</v>
      </c>
      <c r="HY22" s="13">
        <f t="shared" si="138"/>
        <v>0</v>
      </c>
      <c r="HZ22" s="20">
        <f t="shared" si="139"/>
        <v>-1.253889827572785E-2</v>
      </c>
      <c r="IB22" s="3" t="s">
        <v>10</v>
      </c>
      <c r="IC22" s="15">
        <v>9180.5</v>
      </c>
      <c r="ID22" s="4">
        <v>0</v>
      </c>
      <c r="IE22" s="13">
        <v>8809.2199999999993</v>
      </c>
      <c r="IF22" s="13">
        <f t="shared" si="23"/>
        <v>0</v>
      </c>
      <c r="IG22" s="20">
        <f t="shared" si="140"/>
        <v>-4.0442241707968063E-2</v>
      </c>
      <c r="IH22" s="13">
        <v>4857.37</v>
      </c>
      <c r="II22" s="4">
        <v>0</v>
      </c>
      <c r="IJ22" s="13">
        <v>4371.6099999999997</v>
      </c>
      <c r="IK22" s="13">
        <f t="shared" si="24"/>
        <v>0</v>
      </c>
      <c r="IL22" s="20">
        <f t="shared" si="141"/>
        <v>-0.10000473507268337</v>
      </c>
      <c r="IM22" s="13">
        <v>5841.82</v>
      </c>
      <c r="IN22" s="4">
        <v>0</v>
      </c>
      <c r="IO22" s="13">
        <v>5761.13</v>
      </c>
      <c r="IP22" s="13">
        <f t="shared" si="25"/>
        <v>0</v>
      </c>
      <c r="IQ22" s="20">
        <f t="shared" si="142"/>
        <v>-1.3812476248840189E-2</v>
      </c>
      <c r="IR22" s="13">
        <v>4886.29</v>
      </c>
      <c r="IS22" s="4">
        <v>0</v>
      </c>
      <c r="IT22" s="13">
        <v>4602.07</v>
      </c>
      <c r="IU22" s="13">
        <f t="shared" si="26"/>
        <v>0</v>
      </c>
      <c r="IV22" s="20">
        <f t="shared" si="143"/>
        <v>-5.8166830048973828E-2</v>
      </c>
      <c r="IW22" s="15">
        <v>4093.35</v>
      </c>
      <c r="IX22" s="4">
        <v>0</v>
      </c>
      <c r="IY22" s="13">
        <v>3855.25</v>
      </c>
      <c r="IZ22" s="13">
        <f t="shared" si="27"/>
        <v>0</v>
      </c>
      <c r="JA22" s="20">
        <f t="shared" si="144"/>
        <v>-5.8167515604578113E-2</v>
      </c>
      <c r="JB22" s="13">
        <v>4367.16</v>
      </c>
      <c r="JC22" s="4">
        <v>0</v>
      </c>
      <c r="JD22" s="13">
        <v>4367.25</v>
      </c>
      <c r="JE22" s="13">
        <f t="shared" si="28"/>
        <v>0</v>
      </c>
      <c r="JF22" s="20">
        <f t="shared" si="145"/>
        <v>2.0608358750395794E-5</v>
      </c>
      <c r="JG22" s="13">
        <v>4367.16</v>
      </c>
      <c r="JH22" s="4">
        <v>0</v>
      </c>
      <c r="JI22" s="13">
        <v>3930.47</v>
      </c>
      <c r="JJ22" s="13">
        <f t="shared" si="29"/>
        <v>0</v>
      </c>
      <c r="JK22" s="20">
        <f t="shared" si="146"/>
        <v>-9.9994046474138787E-2</v>
      </c>
      <c r="JL22" s="13">
        <v>4367.16</v>
      </c>
      <c r="JM22" s="4">
        <v>0</v>
      </c>
      <c r="JN22" s="13">
        <v>4190.54</v>
      </c>
      <c r="JO22" s="13">
        <f t="shared" si="30"/>
        <v>0</v>
      </c>
      <c r="JP22" s="20">
        <f t="shared" si="147"/>
        <v>-4.0442759138662132E-2</v>
      </c>
      <c r="JQ22" s="15">
        <v>5032.1099999999997</v>
      </c>
      <c r="JR22" s="4">
        <v>0</v>
      </c>
      <c r="JS22" s="13">
        <v>4739.41</v>
      </c>
      <c r="JT22" s="13">
        <f t="shared" si="31"/>
        <v>0</v>
      </c>
      <c r="JU22" s="20">
        <f t="shared" si="148"/>
        <v>-5.8166455025824071E-2</v>
      </c>
      <c r="JV22" s="15">
        <v>4085.92</v>
      </c>
      <c r="JW22" s="4">
        <v>0</v>
      </c>
      <c r="JX22" s="13">
        <v>3848.26</v>
      </c>
      <c r="JY22" s="13">
        <f t="shared" si="32"/>
        <v>0</v>
      </c>
      <c r="JZ22" s="20">
        <f t="shared" si="149"/>
        <v>-5.8165602850765552E-2</v>
      </c>
      <c r="KA22" s="13">
        <v>4688.8100000000004</v>
      </c>
      <c r="KB22" s="4">
        <v>0</v>
      </c>
      <c r="KC22" s="13">
        <v>4457.83</v>
      </c>
      <c r="KD22" s="13">
        <f t="shared" si="33"/>
        <v>0</v>
      </c>
      <c r="KE22" s="20">
        <f t="shared" si="150"/>
        <v>-4.9261966255830458E-2</v>
      </c>
      <c r="KF22" s="15">
        <v>3634.23</v>
      </c>
      <c r="KG22" s="4">
        <v>0</v>
      </c>
      <c r="KH22" s="13">
        <v>3422.84</v>
      </c>
      <c r="KI22" s="13">
        <f t="shared" si="34"/>
        <v>0</v>
      </c>
      <c r="KJ22" s="20">
        <f t="shared" si="151"/>
        <v>-5.8166379122950307E-2</v>
      </c>
      <c r="KK22" s="15">
        <v>6048.43</v>
      </c>
      <c r="KL22" s="4">
        <v>0</v>
      </c>
      <c r="KM22" s="13">
        <v>5964.89</v>
      </c>
      <c r="KN22" s="13">
        <f t="shared" si="35"/>
        <v>0</v>
      </c>
      <c r="KO22" s="20">
        <f t="shared" si="152"/>
        <v>-1.3811848694619933E-2</v>
      </c>
      <c r="KP22" s="15">
        <v>3617.59</v>
      </c>
      <c r="KQ22" s="4">
        <v>0</v>
      </c>
      <c r="KR22" s="13">
        <v>3407.16</v>
      </c>
      <c r="KS22" s="13">
        <f t="shared" si="36"/>
        <v>0</v>
      </c>
      <c r="KT22" s="20">
        <f t="shared" si="153"/>
        <v>-5.8168559731755165E-2</v>
      </c>
      <c r="KU22" s="13">
        <v>4607.9399999999996</v>
      </c>
      <c r="KV22" s="4">
        <v>0</v>
      </c>
      <c r="KW22" s="13">
        <v>4339.91</v>
      </c>
      <c r="KX22" s="13">
        <f t="shared" si="37"/>
        <v>0</v>
      </c>
      <c r="KY22" s="20">
        <f t="shared" si="154"/>
        <v>-5.8166990021571441E-2</v>
      </c>
      <c r="KZ22" s="15">
        <v>3410.08</v>
      </c>
      <c r="LA22" s="4">
        <v>0</v>
      </c>
      <c r="LB22" s="13">
        <v>3211.73</v>
      </c>
      <c r="LC22" s="13">
        <f t="shared" si="38"/>
        <v>0</v>
      </c>
      <c r="LD22" s="20">
        <f t="shared" si="155"/>
        <v>-5.8165790831886666E-2</v>
      </c>
      <c r="LE22" s="13">
        <v>3417.14</v>
      </c>
      <c r="LF22" s="4">
        <v>0</v>
      </c>
      <c r="LG22" s="13">
        <v>3075.83</v>
      </c>
      <c r="LH22" s="13">
        <f t="shared" si="39"/>
        <v>0</v>
      </c>
      <c r="LI22" s="20">
        <f t="shared" si="156"/>
        <v>-9.9881772476398401E-2</v>
      </c>
      <c r="LJ22" s="13">
        <v>3417.14</v>
      </c>
      <c r="LK22" s="4">
        <v>0</v>
      </c>
      <c r="LL22" s="13">
        <v>3218.38</v>
      </c>
      <c r="LM22" s="13">
        <f t="shared" si="40"/>
        <v>0</v>
      </c>
      <c r="LN22" s="20">
        <f t="shared" si="157"/>
        <v>-5.8165600472909973E-2</v>
      </c>
      <c r="LO22" s="15">
        <v>6953.26</v>
      </c>
      <c r="LP22" s="4">
        <v>0</v>
      </c>
      <c r="LQ22" s="13">
        <v>6610.74</v>
      </c>
      <c r="LR22" s="13">
        <f t="shared" si="41"/>
        <v>0</v>
      </c>
      <c r="LS22" s="20">
        <f t="shared" si="158"/>
        <v>-4.9260346945174005E-2</v>
      </c>
      <c r="LU22" s="3" t="s">
        <v>10</v>
      </c>
      <c r="LV22" s="13">
        <v>27526.42</v>
      </c>
      <c r="LW22" s="4">
        <v>0</v>
      </c>
      <c r="LX22" s="13">
        <v>26481.279999999999</v>
      </c>
      <c r="LY22" s="13">
        <f t="shared" si="42"/>
        <v>0</v>
      </c>
      <c r="LZ22" s="12">
        <f t="shared" si="159"/>
        <v>-3.7968613426664244E-2</v>
      </c>
      <c r="MA22" s="13">
        <v>14677.07</v>
      </c>
      <c r="MB22" s="4">
        <v>0</v>
      </c>
      <c r="MC22" s="13">
        <v>13209.91</v>
      </c>
      <c r="MD22" s="13">
        <f t="shared" si="43"/>
        <v>0</v>
      </c>
      <c r="ME22" s="12">
        <f t="shared" si="160"/>
        <v>-9.9962730981047354E-2</v>
      </c>
      <c r="MF22" s="13">
        <v>17923.7</v>
      </c>
      <c r="MG22" s="4">
        <v>0</v>
      </c>
      <c r="MH22" s="13">
        <v>17559.82</v>
      </c>
      <c r="MI22" s="13">
        <f t="shared" si="44"/>
        <v>0</v>
      </c>
      <c r="MJ22" s="12">
        <f t="shared" si="161"/>
        <v>-2.0301611832378441E-2</v>
      </c>
      <c r="MK22" s="15">
        <v>14755.57</v>
      </c>
      <c r="ML22" s="4">
        <v>0</v>
      </c>
      <c r="MM22" s="13">
        <v>14065.65</v>
      </c>
      <c r="MN22" s="13">
        <f t="shared" si="45"/>
        <v>0</v>
      </c>
      <c r="MO22" s="12">
        <f t="shared" si="162"/>
        <v>-4.6756580735274889E-2</v>
      </c>
      <c r="MP22" s="13">
        <v>14196.22</v>
      </c>
      <c r="MQ22" s="4">
        <v>0</v>
      </c>
      <c r="MR22" s="13">
        <v>13657.21</v>
      </c>
      <c r="MS22" s="13">
        <f t="shared" si="46"/>
        <v>0</v>
      </c>
      <c r="MT22" s="12">
        <f t="shared" si="163"/>
        <v>-3.7968557827365301E-2</v>
      </c>
      <c r="MU22" s="13">
        <v>12974.09</v>
      </c>
      <c r="MV22" s="4">
        <v>0</v>
      </c>
      <c r="MW22" s="13">
        <v>12975.18</v>
      </c>
      <c r="MX22" s="13">
        <f t="shared" si="47"/>
        <v>0</v>
      </c>
      <c r="MY22" s="12">
        <f t="shared" si="164"/>
        <v>8.4013599412458007E-5</v>
      </c>
      <c r="MZ22" s="13">
        <v>12974.09</v>
      </c>
      <c r="NA22" s="4">
        <v>0</v>
      </c>
      <c r="NB22" s="13">
        <v>11677.17</v>
      </c>
      <c r="NC22" s="13">
        <f t="shared" si="48"/>
        <v>0</v>
      </c>
      <c r="ND22" s="12">
        <f t="shared" si="165"/>
        <v>-9.9962309495309487E-2</v>
      </c>
      <c r="NE22" s="13">
        <v>12974.09</v>
      </c>
      <c r="NF22" s="4">
        <v>1</v>
      </c>
      <c r="NG22" s="13">
        <v>12367.46</v>
      </c>
      <c r="NH22" s="13">
        <f t="shared" si="49"/>
        <v>12367.46</v>
      </c>
      <c r="NI22" s="12">
        <f t="shared" si="166"/>
        <v>-4.6757036524334383E-2</v>
      </c>
      <c r="NJ22" s="13">
        <v>14926.87</v>
      </c>
      <c r="NK22" s="4">
        <v>0</v>
      </c>
      <c r="NL22" s="13">
        <v>13965.26</v>
      </c>
      <c r="NM22" s="13">
        <f t="shared" si="50"/>
        <v>0</v>
      </c>
      <c r="NN22" s="12">
        <f t="shared" si="167"/>
        <v>-6.4421409176873667E-2</v>
      </c>
      <c r="NO22" s="13">
        <v>12245.86</v>
      </c>
      <c r="NP22" s="4">
        <v>0</v>
      </c>
      <c r="NQ22" s="13">
        <v>11673.28</v>
      </c>
      <c r="NR22" s="13">
        <f t="shared" si="51"/>
        <v>0</v>
      </c>
      <c r="NS22" s="12">
        <f t="shared" si="168"/>
        <v>-4.6757026456288098E-2</v>
      </c>
      <c r="NT22" s="13">
        <v>13907.01</v>
      </c>
      <c r="NU22" s="4">
        <v>0</v>
      </c>
      <c r="NV22" s="13">
        <v>13256.79</v>
      </c>
      <c r="NW22" s="13">
        <f t="shared" si="52"/>
        <v>0</v>
      </c>
      <c r="NX22" s="12">
        <f t="shared" si="169"/>
        <v>-4.6754838027728396E-2</v>
      </c>
      <c r="NY22" s="13">
        <v>10889.61</v>
      </c>
      <c r="NZ22" s="4">
        <v>0</v>
      </c>
      <c r="OA22" s="13">
        <v>10188.07</v>
      </c>
      <c r="OB22" s="13">
        <f t="shared" si="53"/>
        <v>0</v>
      </c>
      <c r="OC22" s="12">
        <f t="shared" si="170"/>
        <v>-6.4422876485016545E-2</v>
      </c>
      <c r="OD22" s="15">
        <v>20028.009999999998</v>
      </c>
      <c r="OE22" s="4">
        <v>0</v>
      </c>
      <c r="OF22" s="13">
        <v>19621.41</v>
      </c>
      <c r="OG22" s="13">
        <f t="shared" si="54"/>
        <v>0</v>
      </c>
      <c r="OH22" s="12">
        <f t="shared" si="171"/>
        <v>-2.0301567654499753E-2</v>
      </c>
      <c r="OI22" s="15">
        <v>10735.24</v>
      </c>
      <c r="OJ22" s="4">
        <v>0</v>
      </c>
      <c r="OK22" s="13">
        <v>10043.65</v>
      </c>
      <c r="OL22" s="13">
        <f t="shared" si="55"/>
        <v>0</v>
      </c>
      <c r="OM22" s="12">
        <f t="shared" si="172"/>
        <v>-6.4422406951311739E-2</v>
      </c>
      <c r="ON22" s="13">
        <v>13647.11</v>
      </c>
      <c r="OO22" s="4">
        <v>0</v>
      </c>
      <c r="OP22" s="13">
        <v>12767.94</v>
      </c>
      <c r="OQ22" s="13">
        <f t="shared" si="56"/>
        <v>0</v>
      </c>
      <c r="OR22" s="12">
        <f t="shared" si="173"/>
        <v>-6.4421698073804601E-2</v>
      </c>
      <c r="OS22" s="13">
        <v>10118.58</v>
      </c>
      <c r="OT22" s="4">
        <v>0</v>
      </c>
      <c r="OU22" s="13">
        <v>9466.7099999999991</v>
      </c>
      <c r="OV22" s="13">
        <f t="shared" si="57"/>
        <v>0</v>
      </c>
      <c r="OW22" s="12">
        <f t="shared" si="174"/>
        <v>-6.4423071221456074E-2</v>
      </c>
      <c r="OX22" s="13">
        <v>10241.629999999999</v>
      </c>
      <c r="OY22" s="4">
        <v>0</v>
      </c>
      <c r="OZ22" s="13">
        <v>9217.85</v>
      </c>
      <c r="PA22" s="13">
        <f t="shared" si="58"/>
        <v>0</v>
      </c>
      <c r="PB22" s="12">
        <f t="shared" si="175"/>
        <v>-9.9962603608995781E-2</v>
      </c>
      <c r="PC22" s="13">
        <v>10241.629999999999</v>
      </c>
      <c r="PD22" s="4">
        <v>0</v>
      </c>
      <c r="PE22" s="13">
        <v>9762.77</v>
      </c>
      <c r="PF22" s="13">
        <f t="shared" si="59"/>
        <v>0</v>
      </c>
      <c r="PG22" s="12">
        <f t="shared" si="176"/>
        <v>-4.6756229233041902E-2</v>
      </c>
      <c r="PH22" s="13">
        <v>20636.060000000001</v>
      </c>
      <c r="PI22" s="4">
        <v>0</v>
      </c>
      <c r="PJ22" s="13">
        <v>19852.560000000001</v>
      </c>
      <c r="PK22" s="13">
        <f t="shared" si="60"/>
        <v>0</v>
      </c>
      <c r="PL22" s="12">
        <f t="shared" si="177"/>
        <v>-3.7967518993451299E-2</v>
      </c>
      <c r="PN22" s="3" t="s">
        <v>10</v>
      </c>
      <c r="PO22" s="15">
        <v>25827.22</v>
      </c>
      <c r="PP22" s="4"/>
      <c r="PQ22" s="13"/>
      <c r="PR22" s="13">
        <f t="shared" si="61"/>
        <v>0</v>
      </c>
      <c r="PS22" s="12">
        <f t="shared" si="178"/>
        <v>-1</v>
      </c>
      <c r="PT22" s="13">
        <v>13771.06</v>
      </c>
      <c r="PU22" s="4">
        <v>0</v>
      </c>
      <c r="PV22" s="13"/>
      <c r="PW22" s="13">
        <f t="shared" si="62"/>
        <v>0</v>
      </c>
      <c r="PX22" s="12">
        <f t="shared" si="179"/>
        <v>-1</v>
      </c>
      <c r="PY22" s="13">
        <v>16817.27</v>
      </c>
      <c r="PZ22" s="4">
        <v>0</v>
      </c>
      <c r="QA22" s="13"/>
      <c r="QB22" s="13">
        <f t="shared" si="63"/>
        <v>0</v>
      </c>
      <c r="QC22" s="12">
        <f t="shared" si="180"/>
        <v>-1</v>
      </c>
      <c r="QD22" s="15">
        <v>13844.71</v>
      </c>
      <c r="QE22" s="4"/>
      <c r="QF22" s="13"/>
      <c r="QG22" s="13">
        <f t="shared" si="64"/>
        <v>0</v>
      </c>
      <c r="QH22" s="12">
        <f t="shared" si="181"/>
        <v>-1</v>
      </c>
      <c r="QI22" s="15">
        <v>13319.89</v>
      </c>
      <c r="QJ22" s="4"/>
      <c r="QK22" s="13"/>
      <c r="QL22" s="13">
        <f t="shared" si="65"/>
        <v>0</v>
      </c>
      <c r="QM22" s="12">
        <f t="shared" si="182"/>
        <v>-1</v>
      </c>
      <c r="QN22" s="15">
        <v>12173.2</v>
      </c>
      <c r="QO22" s="4"/>
      <c r="QP22" s="13"/>
      <c r="QQ22" s="13">
        <f t="shared" si="66"/>
        <v>0</v>
      </c>
      <c r="QR22" s="12">
        <f t="shared" si="183"/>
        <v>-1</v>
      </c>
      <c r="QS22" s="15">
        <v>14005.44</v>
      </c>
      <c r="QT22" s="4"/>
      <c r="QU22" s="13"/>
      <c r="QV22" s="13">
        <f t="shared" si="67"/>
        <v>0</v>
      </c>
      <c r="QW22" s="12">
        <f t="shared" si="184"/>
        <v>-1</v>
      </c>
      <c r="QX22" s="15">
        <v>11489.93</v>
      </c>
      <c r="QY22" s="4"/>
      <c r="QZ22" s="13"/>
      <c r="RA22" s="13">
        <f t="shared" si="68"/>
        <v>0</v>
      </c>
      <c r="RB22" s="12">
        <f t="shared" si="185"/>
        <v>-1</v>
      </c>
      <c r="RC22" s="15">
        <v>13048.54</v>
      </c>
      <c r="RD22" s="4"/>
      <c r="RE22" s="13"/>
      <c r="RF22" s="13">
        <f t="shared" si="69"/>
        <v>0</v>
      </c>
      <c r="RG22" s="12">
        <f t="shared" si="186"/>
        <v>-1</v>
      </c>
      <c r="RH22" s="15">
        <v>10217.39</v>
      </c>
      <c r="RI22" s="4"/>
      <c r="RJ22" s="13"/>
      <c r="RK22" s="13">
        <f t="shared" si="70"/>
        <v>0</v>
      </c>
      <c r="RL22" s="12">
        <f t="shared" si="187"/>
        <v>-1</v>
      </c>
      <c r="RM22" s="15">
        <v>18791.689999999999</v>
      </c>
      <c r="RN22" s="4"/>
      <c r="RO22" s="13"/>
      <c r="RP22" s="13">
        <f t="shared" si="71"/>
        <v>0</v>
      </c>
      <c r="RQ22" s="12">
        <f t="shared" si="188"/>
        <v>-1</v>
      </c>
      <c r="RR22" s="15">
        <v>10072.56</v>
      </c>
      <c r="RS22" s="4"/>
      <c r="RT22" s="13"/>
      <c r="RU22" s="13">
        <f t="shared" si="72"/>
        <v>0</v>
      </c>
      <c r="RV22" s="12">
        <f t="shared" si="189"/>
        <v>-1</v>
      </c>
      <c r="RW22" s="15">
        <v>12804.68</v>
      </c>
      <c r="RX22" s="4"/>
      <c r="RY22" s="13"/>
      <c r="RZ22" s="13">
        <f t="shared" si="73"/>
        <v>0</v>
      </c>
      <c r="SA22" s="12">
        <f t="shared" si="190"/>
        <v>-1</v>
      </c>
      <c r="SB22" s="15">
        <v>9493.9599999999991</v>
      </c>
      <c r="SC22" s="4"/>
      <c r="SD22" s="13"/>
      <c r="SE22" s="13">
        <f t="shared" si="74"/>
        <v>0</v>
      </c>
      <c r="SF22" s="12">
        <f t="shared" si="191"/>
        <v>-1</v>
      </c>
      <c r="SG22" s="15">
        <v>9609.41</v>
      </c>
      <c r="SH22" s="4"/>
      <c r="SI22" s="13"/>
      <c r="SJ22" s="13">
        <f t="shared" si="75"/>
        <v>0</v>
      </c>
      <c r="SK22" s="12">
        <f t="shared" si="192"/>
        <v>-1</v>
      </c>
      <c r="SL22" s="15">
        <v>19362.2</v>
      </c>
      <c r="SM22" s="4"/>
      <c r="SN22" s="13"/>
      <c r="SO22" s="13">
        <f t="shared" si="76"/>
        <v>0</v>
      </c>
      <c r="SP22" s="12">
        <f t="shared" si="193"/>
        <v>-1</v>
      </c>
    </row>
    <row r="23" spans="1:510" x14ac:dyDescent="0.25">
      <c r="A23" s="3" t="s">
        <v>11</v>
      </c>
      <c r="B23" s="13">
        <v>22296.36</v>
      </c>
      <c r="C23" s="4">
        <v>0</v>
      </c>
      <c r="D23" s="13">
        <v>20066.650000000001</v>
      </c>
      <c r="E23" s="13">
        <f t="shared" si="77"/>
        <v>0</v>
      </c>
      <c r="F23" s="20">
        <f t="shared" si="78"/>
        <v>-0.10000331892739434</v>
      </c>
      <c r="H23" s="3" t="s">
        <v>11</v>
      </c>
      <c r="I23" s="13">
        <v>6957.95</v>
      </c>
      <c r="J23" s="4">
        <v>0</v>
      </c>
      <c r="K23" s="13">
        <v>6262.42</v>
      </c>
      <c r="L23" s="13">
        <f t="shared" si="0"/>
        <v>0</v>
      </c>
      <c r="M23" s="20">
        <f t="shared" si="79"/>
        <v>-9.9961914069517599E-2</v>
      </c>
      <c r="O23" s="3" t="s">
        <v>11</v>
      </c>
      <c r="P23" s="13">
        <v>20700.27</v>
      </c>
      <c r="Q23" s="4">
        <v>0</v>
      </c>
      <c r="R23" s="13">
        <v>18630.18</v>
      </c>
      <c r="S23" s="13">
        <f t="shared" si="1"/>
        <v>0</v>
      </c>
      <c r="T23" s="20">
        <f t="shared" si="80"/>
        <v>-0.10000304343856381</v>
      </c>
      <c r="V23" s="3" t="s">
        <v>11</v>
      </c>
      <c r="W23" s="15">
        <v>22733.4</v>
      </c>
      <c r="X23" s="4">
        <v>0</v>
      </c>
      <c r="Y23" s="13">
        <v>21378.1</v>
      </c>
      <c r="Z23" s="13">
        <f t="shared" si="2"/>
        <v>0</v>
      </c>
      <c r="AA23" s="12">
        <f t="shared" si="81"/>
        <v>-5.9617127222500899E-2</v>
      </c>
      <c r="AB23" s="15">
        <v>19714.080000000002</v>
      </c>
      <c r="AC23" s="4">
        <v>0</v>
      </c>
      <c r="AD23" s="13">
        <v>18709.68</v>
      </c>
      <c r="AE23" s="13">
        <f t="shared" si="3"/>
        <v>0</v>
      </c>
      <c r="AF23" s="12">
        <f t="shared" si="82"/>
        <v>-5.0948357721993687E-2</v>
      </c>
      <c r="AG23" s="33">
        <v>18399.2</v>
      </c>
      <c r="AH23" s="4">
        <v>0</v>
      </c>
      <c r="AI23" s="13">
        <v>17479.64</v>
      </c>
      <c r="AJ23" s="13">
        <f t="shared" si="4"/>
        <v>0</v>
      </c>
      <c r="AK23" s="12">
        <f t="shared" si="83"/>
        <v>-4.997825992434457E-2</v>
      </c>
      <c r="AL23" s="15">
        <v>16538.150000000001</v>
      </c>
      <c r="AM23" s="4">
        <v>0</v>
      </c>
      <c r="AN23" s="13">
        <v>15263.95</v>
      </c>
      <c r="AO23" s="13">
        <f t="shared" si="5"/>
        <v>0</v>
      </c>
      <c r="AP23" s="12">
        <f t="shared" si="84"/>
        <v>-7.7046102496349356E-2</v>
      </c>
      <c r="AQ23" s="15">
        <v>16323.59</v>
      </c>
      <c r="AR23" s="4">
        <v>0</v>
      </c>
      <c r="AS23" s="13">
        <v>15065.94</v>
      </c>
      <c r="AT23" s="13">
        <f t="shared" si="6"/>
        <v>0</v>
      </c>
      <c r="AU23" s="12">
        <f t="shared" si="85"/>
        <v>-7.7044939256621814E-2</v>
      </c>
      <c r="AV23" s="33">
        <v>15202.69</v>
      </c>
      <c r="AW23" s="4">
        <v>0</v>
      </c>
      <c r="AX23" s="13">
        <v>14175.24</v>
      </c>
      <c r="AY23" s="13">
        <f t="shared" si="7"/>
        <v>0</v>
      </c>
      <c r="AZ23" s="12">
        <f t="shared" si="86"/>
        <v>-6.7583434247491803E-2</v>
      </c>
      <c r="BB23" s="3" t="s">
        <v>11</v>
      </c>
      <c r="BC23" s="15">
        <v>6957.95</v>
      </c>
      <c r="BD23" s="4">
        <v>0</v>
      </c>
      <c r="BE23" s="13">
        <v>6610.38</v>
      </c>
      <c r="BF23" s="13">
        <f t="shared" si="8"/>
        <v>0</v>
      </c>
      <c r="BG23" s="12">
        <f t="shared" si="87"/>
        <v>-4.9952931538743361E-2</v>
      </c>
      <c r="BH23" s="15">
        <v>6218.73</v>
      </c>
      <c r="BI23" s="4">
        <v>0</v>
      </c>
      <c r="BJ23" s="13">
        <v>6019.25</v>
      </c>
      <c r="BK23" s="13">
        <f t="shared" si="9"/>
        <v>0</v>
      </c>
      <c r="BL23" s="12">
        <f t="shared" si="88"/>
        <v>-3.2077289092788952E-2</v>
      </c>
      <c r="BM23" s="13">
        <v>5818.26</v>
      </c>
      <c r="BN23" s="4">
        <v>0</v>
      </c>
      <c r="BO23" s="13">
        <v>5527.61</v>
      </c>
      <c r="BP23" s="13">
        <f t="shared" si="10"/>
        <v>0</v>
      </c>
      <c r="BQ23" s="12">
        <f t="shared" si="89"/>
        <v>-4.9954797482408941E-2</v>
      </c>
      <c r="BR23" s="13">
        <v>5175.05</v>
      </c>
      <c r="BS23" s="4">
        <v>0</v>
      </c>
      <c r="BT23" s="13">
        <v>4916.53</v>
      </c>
      <c r="BU23" s="13">
        <f t="shared" si="11"/>
        <v>0</v>
      </c>
      <c r="BV23" s="12">
        <f t="shared" si="90"/>
        <v>-4.9955072897846509E-2</v>
      </c>
      <c r="BW23" s="15">
        <v>5151.3500000000004</v>
      </c>
      <c r="BX23" s="4">
        <v>0</v>
      </c>
      <c r="BY23" s="13">
        <v>4894.01</v>
      </c>
      <c r="BZ23" s="13">
        <f t="shared" si="12"/>
        <v>0</v>
      </c>
      <c r="CA23" s="12">
        <f t="shared" si="91"/>
        <v>-4.9955836819474575E-2</v>
      </c>
      <c r="CB23" s="15">
        <v>4855.88</v>
      </c>
      <c r="CC23" s="4">
        <v>0</v>
      </c>
      <c r="CD23" s="13">
        <v>4613.3</v>
      </c>
      <c r="CE23" s="13">
        <f t="shared" si="13"/>
        <v>0</v>
      </c>
      <c r="CF23" s="12">
        <f t="shared" si="92"/>
        <v>-4.9955929718197289E-2</v>
      </c>
      <c r="CH23" s="3" t="s">
        <v>11</v>
      </c>
      <c r="CI23" s="13">
        <v>20943.73</v>
      </c>
      <c r="CJ23" s="4">
        <v>0</v>
      </c>
      <c r="CK23" s="13">
        <v>19984.650000000001</v>
      </c>
      <c r="CL23" s="13">
        <f t="shared" si="14"/>
        <v>0</v>
      </c>
      <c r="CM23" s="12">
        <f t="shared" si="93"/>
        <v>-4.5793180106886267E-2</v>
      </c>
      <c r="CN23" s="15">
        <v>18415.14</v>
      </c>
      <c r="CO23" s="4">
        <v>0</v>
      </c>
      <c r="CP23" s="13">
        <v>17571.84</v>
      </c>
      <c r="CQ23" s="13">
        <f t="shared" si="15"/>
        <v>0</v>
      </c>
      <c r="CR23" s="12">
        <f t="shared" si="94"/>
        <v>-4.5793841371827737E-2</v>
      </c>
      <c r="CS23" s="13">
        <v>17381.509999999998</v>
      </c>
      <c r="CT23" s="4">
        <v>0</v>
      </c>
      <c r="CU23" s="13">
        <v>16585.560000000001</v>
      </c>
      <c r="CV23" s="13">
        <f t="shared" si="16"/>
        <v>0</v>
      </c>
      <c r="CW23" s="12">
        <f t="shared" si="95"/>
        <v>-4.5792914424580888E-2</v>
      </c>
      <c r="CX23" s="13">
        <v>15456.47</v>
      </c>
      <c r="CY23" s="4">
        <v>0</v>
      </c>
      <c r="CZ23" s="13">
        <v>14475.34</v>
      </c>
      <c r="DA23" s="13">
        <f t="shared" si="17"/>
        <v>0</v>
      </c>
      <c r="DB23" s="12">
        <f t="shared" si="96"/>
        <v>-6.3476977602259677E-2</v>
      </c>
      <c r="DC23" s="15">
        <v>15237.37</v>
      </c>
      <c r="DD23" s="4">
        <v>0</v>
      </c>
      <c r="DE23" s="13">
        <v>14270.14</v>
      </c>
      <c r="DF23" s="13">
        <f t="shared" si="18"/>
        <v>0</v>
      </c>
      <c r="DG23" s="12">
        <f t="shared" si="97"/>
        <v>-6.3477489881784144E-2</v>
      </c>
      <c r="DH23" s="13">
        <v>14362.09</v>
      </c>
      <c r="DI23" s="4">
        <v>0</v>
      </c>
      <c r="DJ23" s="13">
        <v>13450.44</v>
      </c>
      <c r="DK23" s="13">
        <f t="shared" si="19"/>
        <v>0</v>
      </c>
      <c r="DL23" s="12">
        <f t="shared" si="98"/>
        <v>-6.3476137525945053E-2</v>
      </c>
      <c r="DN23" s="3" t="s">
        <v>11</v>
      </c>
      <c r="DO23" s="13">
        <v>38573.31</v>
      </c>
      <c r="DP23" s="4">
        <v>0</v>
      </c>
      <c r="DQ23" s="13">
        <v>38577.85</v>
      </c>
      <c r="DR23" s="13">
        <f t="shared" si="20"/>
        <v>0</v>
      </c>
      <c r="DS23" s="20">
        <f t="shared" si="99"/>
        <v>1.1769796265870269E-4</v>
      </c>
      <c r="DU23" s="3" t="s">
        <v>11</v>
      </c>
      <c r="DV23" s="13">
        <v>30737.29</v>
      </c>
      <c r="DW23" s="4">
        <v>0</v>
      </c>
      <c r="DX23" s="13">
        <v>30740.93</v>
      </c>
      <c r="DY23" s="13">
        <f t="shared" si="21"/>
        <v>0</v>
      </c>
      <c r="DZ23" s="20">
        <f t="shared" si="100"/>
        <v>1.1842293188490949E-4</v>
      </c>
      <c r="EB23" s="3" t="s">
        <v>11</v>
      </c>
      <c r="EC23" s="13">
        <v>30737.29</v>
      </c>
      <c r="ED23" s="4">
        <v>0</v>
      </c>
      <c r="EE23" s="13">
        <v>30740.93</v>
      </c>
      <c r="EF23" s="13">
        <f t="shared" si="22"/>
        <v>0</v>
      </c>
      <c r="EG23" s="20">
        <f t="shared" si="101"/>
        <v>1.1842293188490949E-4</v>
      </c>
      <c r="EI23" s="3" t="s">
        <v>11</v>
      </c>
      <c r="EJ23" s="13">
        <v>37598.019999999997</v>
      </c>
      <c r="EK23" s="4">
        <v>0</v>
      </c>
      <c r="EL23" s="13">
        <v>36141.72</v>
      </c>
      <c r="EM23" s="13">
        <f t="shared" si="102"/>
        <v>0</v>
      </c>
      <c r="EN23" s="20">
        <f t="shared" si="103"/>
        <v>-3.8733422664278483E-2</v>
      </c>
      <c r="EO23" s="13">
        <v>19344.39</v>
      </c>
      <c r="EP23" s="4">
        <v>0</v>
      </c>
      <c r="EQ23" s="13">
        <v>17409.97</v>
      </c>
      <c r="ER23" s="13">
        <f t="shared" si="104"/>
        <v>0</v>
      </c>
      <c r="ES23" s="20">
        <f t="shared" si="105"/>
        <v>-9.9999017803094281E-2</v>
      </c>
      <c r="ET23" s="13">
        <v>25261.89</v>
      </c>
      <c r="EU23" s="4">
        <v>0</v>
      </c>
      <c r="EV23" s="13">
        <v>24945.11</v>
      </c>
      <c r="EW23" s="13">
        <f t="shared" si="106"/>
        <v>0</v>
      </c>
      <c r="EX23" s="20">
        <f t="shared" si="107"/>
        <v>-1.2539837676436627E-2</v>
      </c>
      <c r="EY23" s="15">
        <v>19716.52</v>
      </c>
      <c r="EZ23" s="4">
        <v>0</v>
      </c>
      <c r="FA23" s="13">
        <v>18609.669999999998</v>
      </c>
      <c r="FB23" s="13">
        <f t="shared" si="108"/>
        <v>0</v>
      </c>
      <c r="FC23" s="20">
        <f t="shared" si="109"/>
        <v>-5.6138202887730859E-2</v>
      </c>
      <c r="FD23" s="15">
        <v>17817.45</v>
      </c>
      <c r="FE23" s="4">
        <v>0</v>
      </c>
      <c r="FF23" s="13">
        <v>16972.27</v>
      </c>
      <c r="FG23" s="13">
        <f t="shared" si="110"/>
        <v>0</v>
      </c>
      <c r="FH23" s="20">
        <f t="shared" si="111"/>
        <v>-4.7435519673129423E-2</v>
      </c>
      <c r="FI23" s="13">
        <v>17097.88</v>
      </c>
      <c r="FJ23" s="4">
        <v>0</v>
      </c>
      <c r="FK23" s="13">
        <v>17098.53</v>
      </c>
      <c r="FL23" s="13">
        <f t="shared" si="112"/>
        <v>0</v>
      </c>
      <c r="FM23" s="20">
        <f t="shared" si="113"/>
        <v>3.8016409051655486E-5</v>
      </c>
      <c r="FN23" s="13">
        <v>17097.88</v>
      </c>
      <c r="FO23" s="4">
        <v>0</v>
      </c>
      <c r="FP23" s="13">
        <v>15389.56</v>
      </c>
      <c r="FQ23" s="13">
        <f t="shared" si="114"/>
        <v>0</v>
      </c>
      <c r="FR23" s="20">
        <f t="shared" si="115"/>
        <v>-9.9914141402326018E-2</v>
      </c>
      <c r="FS23" s="13">
        <v>17097.88</v>
      </c>
      <c r="FT23" s="4">
        <v>0</v>
      </c>
      <c r="FU23" s="13">
        <v>16286.82</v>
      </c>
      <c r="FV23" s="13">
        <f t="shared" si="116"/>
        <v>0</v>
      </c>
      <c r="FW23" s="20">
        <f t="shared" si="117"/>
        <v>-4.743629034710739E-2</v>
      </c>
      <c r="FX23" s="15">
        <v>19543.080000000002</v>
      </c>
      <c r="FY23" s="4">
        <v>0</v>
      </c>
      <c r="FZ23" s="13">
        <v>18104.150000000001</v>
      </c>
      <c r="GA23" s="13">
        <f t="shared" si="118"/>
        <v>0</v>
      </c>
      <c r="GB23" s="20">
        <f t="shared" si="119"/>
        <v>-7.3628619439719878E-2</v>
      </c>
      <c r="GC23" s="13">
        <v>16121.06</v>
      </c>
      <c r="GD23" s="4">
        <v>0</v>
      </c>
      <c r="GE23" s="13">
        <v>15216.06</v>
      </c>
      <c r="GF23" s="13">
        <f t="shared" si="120"/>
        <v>0</v>
      </c>
      <c r="GG23" s="20">
        <f t="shared" si="121"/>
        <v>-5.6137747765965806E-2</v>
      </c>
      <c r="GH23" s="15">
        <v>18212.37</v>
      </c>
      <c r="GI23" s="4">
        <v>0</v>
      </c>
      <c r="GJ23" s="13">
        <v>17189.990000000002</v>
      </c>
      <c r="GK23" s="13">
        <f t="shared" si="122"/>
        <v>0</v>
      </c>
      <c r="GL23" s="20">
        <f t="shared" si="123"/>
        <v>-5.6136570913066119E-2</v>
      </c>
      <c r="GM23" s="15">
        <v>14343.42</v>
      </c>
      <c r="GN23" s="4">
        <v>0</v>
      </c>
      <c r="GO23" s="13">
        <v>13287.31</v>
      </c>
      <c r="GP23" s="13">
        <f t="shared" si="124"/>
        <v>0</v>
      </c>
      <c r="GQ23" s="20">
        <f t="shared" si="125"/>
        <v>-7.3630277855630033E-2</v>
      </c>
      <c r="GR23" s="13">
        <v>31179.97</v>
      </c>
      <c r="GS23" s="4">
        <v>0</v>
      </c>
      <c r="GT23" s="13">
        <v>30246.33</v>
      </c>
      <c r="GU23" s="13">
        <f t="shared" si="126"/>
        <v>0</v>
      </c>
      <c r="GV23" s="20">
        <f t="shared" si="127"/>
        <v>-2.9943582370348665E-2</v>
      </c>
      <c r="GW23" s="15">
        <v>14157.33</v>
      </c>
      <c r="GX23" s="4">
        <v>0</v>
      </c>
      <c r="GY23" s="13">
        <v>13114.93</v>
      </c>
      <c r="GZ23" s="13">
        <f t="shared" si="128"/>
        <v>0</v>
      </c>
      <c r="HA23" s="20">
        <f t="shared" si="129"/>
        <v>-7.3629702775876549E-2</v>
      </c>
      <c r="HB23" s="15">
        <v>18793.28</v>
      </c>
      <c r="HC23" s="4">
        <v>0</v>
      </c>
      <c r="HD23" s="13">
        <v>17409.54</v>
      </c>
      <c r="HE23" s="13">
        <f t="shared" si="130"/>
        <v>0</v>
      </c>
      <c r="HF23" s="20">
        <f t="shared" si="131"/>
        <v>-7.3629510122767194E-2</v>
      </c>
      <c r="HG23" s="15">
        <v>13320.34</v>
      </c>
      <c r="HH23" s="4">
        <v>0</v>
      </c>
      <c r="HI23" s="13">
        <v>12339.58</v>
      </c>
      <c r="HJ23" s="13">
        <f t="shared" si="132"/>
        <v>0</v>
      </c>
      <c r="HK23" s="20">
        <f t="shared" si="133"/>
        <v>-7.3628751218062005E-2</v>
      </c>
      <c r="HL23" s="13">
        <v>13474.86</v>
      </c>
      <c r="HM23" s="4">
        <v>0</v>
      </c>
      <c r="HN23" s="13">
        <v>12127.94</v>
      </c>
      <c r="HO23" s="13">
        <f t="shared" si="134"/>
        <v>0</v>
      </c>
      <c r="HP23" s="20">
        <f t="shared" si="135"/>
        <v>-9.9957995853018122E-2</v>
      </c>
      <c r="HQ23" s="13">
        <v>13474.86</v>
      </c>
      <c r="HR23" s="4">
        <v>0</v>
      </c>
      <c r="HS23" s="13">
        <v>12482.71</v>
      </c>
      <c r="HT23" s="13">
        <f t="shared" si="136"/>
        <v>0</v>
      </c>
      <c r="HU23" s="20">
        <f t="shared" si="137"/>
        <v>-7.3629707470059147E-2</v>
      </c>
      <c r="HV23" s="13">
        <v>33873.730000000003</v>
      </c>
      <c r="HW23" s="4">
        <v>0</v>
      </c>
      <c r="HX23" s="13">
        <v>33449.019999999997</v>
      </c>
      <c r="HY23" s="13">
        <f t="shared" si="138"/>
        <v>0</v>
      </c>
      <c r="HZ23" s="20">
        <f t="shared" si="139"/>
        <v>-1.2538034636280226E-2</v>
      </c>
      <c r="IB23" s="3" t="s">
        <v>11</v>
      </c>
      <c r="IC23" s="15">
        <v>11375.58</v>
      </c>
      <c r="ID23" s="4">
        <v>0</v>
      </c>
      <c r="IE23" s="13">
        <v>10915.53</v>
      </c>
      <c r="IF23" s="13">
        <f t="shared" si="23"/>
        <v>0</v>
      </c>
      <c r="IG23" s="20">
        <f t="shared" si="140"/>
        <v>-4.0441893951780883E-2</v>
      </c>
      <c r="IH23" s="13">
        <v>6018.78</v>
      </c>
      <c r="II23" s="4">
        <v>0</v>
      </c>
      <c r="IJ23" s="13">
        <v>5416.87</v>
      </c>
      <c r="IK23" s="13">
        <f t="shared" si="24"/>
        <v>0</v>
      </c>
      <c r="IL23" s="20">
        <f t="shared" si="141"/>
        <v>-0.10000531669208712</v>
      </c>
      <c r="IM23" s="13">
        <v>7238.61</v>
      </c>
      <c r="IN23" s="4">
        <v>0</v>
      </c>
      <c r="IO23" s="13">
        <v>7138.63</v>
      </c>
      <c r="IP23" s="13">
        <f t="shared" si="25"/>
        <v>0</v>
      </c>
      <c r="IQ23" s="20">
        <f t="shared" si="142"/>
        <v>-1.3812044025026893E-2</v>
      </c>
      <c r="IR23" s="13">
        <v>6054.61</v>
      </c>
      <c r="IS23" s="4">
        <v>0</v>
      </c>
      <c r="IT23" s="13">
        <v>5702.44</v>
      </c>
      <c r="IU23" s="13">
        <f t="shared" si="26"/>
        <v>0</v>
      </c>
      <c r="IV23" s="20">
        <f t="shared" si="143"/>
        <v>-5.8165596132533692E-2</v>
      </c>
      <c r="IW23" s="15">
        <v>5072.09</v>
      </c>
      <c r="IX23" s="4">
        <v>0</v>
      </c>
      <c r="IY23" s="13">
        <v>4777.05</v>
      </c>
      <c r="IZ23" s="13">
        <f t="shared" si="27"/>
        <v>0</v>
      </c>
      <c r="JA23" s="20">
        <f t="shared" si="144"/>
        <v>-5.8169314818940498E-2</v>
      </c>
      <c r="JB23" s="13">
        <v>5411.36</v>
      </c>
      <c r="JC23" s="4">
        <v>0</v>
      </c>
      <c r="JD23" s="13">
        <v>5411.47</v>
      </c>
      <c r="JE23" s="13">
        <f t="shared" si="28"/>
        <v>0</v>
      </c>
      <c r="JF23" s="20">
        <f t="shared" si="145"/>
        <v>2.0327607108017176E-5</v>
      </c>
      <c r="JG23" s="13">
        <v>5411.36</v>
      </c>
      <c r="JH23" s="4">
        <v>0</v>
      </c>
      <c r="JI23" s="13">
        <v>4870.26</v>
      </c>
      <c r="JJ23" s="13">
        <f t="shared" si="29"/>
        <v>0</v>
      </c>
      <c r="JK23" s="20">
        <f t="shared" si="146"/>
        <v>-9.9993347328582782E-2</v>
      </c>
      <c r="JL23" s="13">
        <v>5411.36</v>
      </c>
      <c r="JM23" s="4">
        <v>0</v>
      </c>
      <c r="JN23" s="13">
        <v>5192.51</v>
      </c>
      <c r="JO23" s="13">
        <f t="shared" si="30"/>
        <v>0</v>
      </c>
      <c r="JP23" s="20">
        <f t="shared" si="147"/>
        <v>-4.0442698323526649E-2</v>
      </c>
      <c r="JQ23" s="15">
        <v>6235.29</v>
      </c>
      <c r="JR23" s="4">
        <v>0</v>
      </c>
      <c r="JS23" s="13">
        <v>5872.61</v>
      </c>
      <c r="JT23" s="13">
        <f t="shared" si="31"/>
        <v>0</v>
      </c>
      <c r="JU23" s="20">
        <f t="shared" si="148"/>
        <v>-5.8165698788669062E-2</v>
      </c>
      <c r="JV23" s="15">
        <v>5062.88</v>
      </c>
      <c r="JW23" s="4">
        <v>0</v>
      </c>
      <c r="JX23" s="13">
        <v>4768.3900000000003</v>
      </c>
      <c r="JY23" s="13">
        <f t="shared" si="32"/>
        <v>0</v>
      </c>
      <c r="JZ23" s="20">
        <f t="shared" si="149"/>
        <v>-5.8166498119647247E-2</v>
      </c>
      <c r="KA23" s="13">
        <v>5809.9</v>
      </c>
      <c r="KB23" s="4">
        <v>0</v>
      </c>
      <c r="KC23" s="13">
        <v>5523.7</v>
      </c>
      <c r="KD23" s="13">
        <f t="shared" si="33"/>
        <v>0</v>
      </c>
      <c r="KE23" s="20">
        <f t="shared" si="150"/>
        <v>-4.9260744591128947E-2</v>
      </c>
      <c r="KF23" s="15">
        <v>4503.18</v>
      </c>
      <c r="KG23" s="4">
        <v>0</v>
      </c>
      <c r="KH23" s="13">
        <v>4241.25</v>
      </c>
      <c r="KI23" s="13">
        <f t="shared" si="34"/>
        <v>0</v>
      </c>
      <c r="KJ23" s="20">
        <f t="shared" si="151"/>
        <v>-5.816556300214526E-2</v>
      </c>
      <c r="KK23" s="15">
        <v>7494.62</v>
      </c>
      <c r="KL23" s="4">
        <v>0</v>
      </c>
      <c r="KM23" s="13">
        <v>7391.1</v>
      </c>
      <c r="KN23" s="13">
        <f t="shared" si="35"/>
        <v>0</v>
      </c>
      <c r="KO23" s="20">
        <f t="shared" si="152"/>
        <v>-1.3812574887052231E-2</v>
      </c>
      <c r="KP23" s="15">
        <v>4482.5600000000004</v>
      </c>
      <c r="KQ23" s="4">
        <v>0</v>
      </c>
      <c r="KR23" s="13">
        <v>4221.8100000000004</v>
      </c>
      <c r="KS23" s="13">
        <f t="shared" si="36"/>
        <v>0</v>
      </c>
      <c r="KT23" s="20">
        <f t="shared" si="153"/>
        <v>-5.8169885065676774E-2</v>
      </c>
      <c r="KU23" s="13">
        <v>5709.71</v>
      </c>
      <c r="KV23" s="4">
        <v>0</v>
      </c>
      <c r="KW23" s="13">
        <v>5377.59</v>
      </c>
      <c r="KX23" s="13">
        <f t="shared" si="37"/>
        <v>0</v>
      </c>
      <c r="KY23" s="20">
        <f t="shared" si="154"/>
        <v>-5.8167577687833538E-2</v>
      </c>
      <c r="KZ23" s="15">
        <v>4225.45</v>
      </c>
      <c r="LA23" s="4">
        <v>0</v>
      </c>
      <c r="LB23" s="13">
        <v>3979.66</v>
      </c>
      <c r="LC23" s="13">
        <f t="shared" si="38"/>
        <v>0</v>
      </c>
      <c r="LD23" s="20">
        <f t="shared" si="155"/>
        <v>-5.8168952419268893E-2</v>
      </c>
      <c r="LE23" s="13">
        <v>4234.18</v>
      </c>
      <c r="LF23" s="4">
        <v>0</v>
      </c>
      <c r="LG23" s="13">
        <v>3811.26</v>
      </c>
      <c r="LH23" s="13">
        <f t="shared" si="39"/>
        <v>0</v>
      </c>
      <c r="LI23" s="20">
        <f t="shared" si="156"/>
        <v>-9.9882385727578904E-2</v>
      </c>
      <c r="LJ23" s="13">
        <v>4234.18</v>
      </c>
      <c r="LK23" s="4">
        <v>0</v>
      </c>
      <c r="LL23" s="13">
        <v>3987.89</v>
      </c>
      <c r="LM23" s="13">
        <f t="shared" si="40"/>
        <v>0</v>
      </c>
      <c r="LN23" s="20">
        <f t="shared" si="157"/>
        <v>-5.8167106736133234E-2</v>
      </c>
      <c r="LO23" s="15">
        <v>8615.81</v>
      </c>
      <c r="LP23" s="4">
        <v>0</v>
      </c>
      <c r="LQ23" s="13">
        <v>8191.39</v>
      </c>
      <c r="LR23" s="13">
        <f t="shared" si="41"/>
        <v>0</v>
      </c>
      <c r="LS23" s="20">
        <f t="shared" si="158"/>
        <v>-4.9260603471989239E-2</v>
      </c>
      <c r="LU23" s="3" t="s">
        <v>11</v>
      </c>
      <c r="LV23" s="13">
        <v>34108.050000000003</v>
      </c>
      <c r="LW23" s="4">
        <v>0</v>
      </c>
      <c r="LX23" s="13">
        <v>32813.019999999997</v>
      </c>
      <c r="LY23" s="13">
        <f t="shared" si="42"/>
        <v>0</v>
      </c>
      <c r="LZ23" s="12">
        <f t="shared" si="159"/>
        <v>-3.7968456126926231E-2</v>
      </c>
      <c r="MA23" s="13">
        <v>18186.39</v>
      </c>
      <c r="MB23" s="4">
        <v>0</v>
      </c>
      <c r="MC23" s="13">
        <v>16368.44</v>
      </c>
      <c r="MD23" s="13">
        <f t="shared" si="43"/>
        <v>0</v>
      </c>
      <c r="ME23" s="12">
        <f t="shared" si="160"/>
        <v>-9.9962114526302326E-2</v>
      </c>
      <c r="MF23" s="13">
        <v>22209.3</v>
      </c>
      <c r="MG23" s="4">
        <v>0</v>
      </c>
      <c r="MH23" s="13">
        <v>21758.41</v>
      </c>
      <c r="MI23" s="13">
        <f t="shared" si="44"/>
        <v>0</v>
      </c>
      <c r="MJ23" s="12">
        <f t="shared" si="161"/>
        <v>-2.0301855528990109E-2</v>
      </c>
      <c r="MK23" s="15">
        <v>18283.650000000001</v>
      </c>
      <c r="ML23" s="4">
        <v>0</v>
      </c>
      <c r="MM23" s="13">
        <v>17428.77</v>
      </c>
      <c r="MN23" s="13">
        <f t="shared" si="45"/>
        <v>0</v>
      </c>
      <c r="MO23" s="12">
        <f t="shared" si="162"/>
        <v>-4.6756528373711026E-2</v>
      </c>
      <c r="MP23" s="13">
        <v>17590.560000000001</v>
      </c>
      <c r="MQ23" s="4">
        <v>0</v>
      </c>
      <c r="MR23" s="13">
        <v>16922.68</v>
      </c>
      <c r="MS23" s="13">
        <f t="shared" si="46"/>
        <v>0</v>
      </c>
      <c r="MT23" s="12">
        <f t="shared" si="163"/>
        <v>-3.7968091976605667E-2</v>
      </c>
      <c r="MU23" s="13">
        <v>16076.23</v>
      </c>
      <c r="MV23" s="4">
        <v>0</v>
      </c>
      <c r="MW23" s="13">
        <v>16077.57</v>
      </c>
      <c r="MX23" s="13">
        <f t="shared" si="47"/>
        <v>0</v>
      </c>
      <c r="MY23" s="12">
        <f t="shared" si="164"/>
        <v>8.3352875643205593E-5</v>
      </c>
      <c r="MZ23" s="13">
        <v>16076.23</v>
      </c>
      <c r="NA23" s="4">
        <v>0</v>
      </c>
      <c r="NB23" s="13">
        <v>14469.2</v>
      </c>
      <c r="NC23" s="13">
        <f t="shared" si="48"/>
        <v>0</v>
      </c>
      <c r="ND23" s="12">
        <f t="shared" si="165"/>
        <v>-9.9963113242345969E-2</v>
      </c>
      <c r="NE23" s="13">
        <v>16076.23</v>
      </c>
      <c r="NF23" s="4">
        <v>0</v>
      </c>
      <c r="NG23" s="13">
        <v>15324.54</v>
      </c>
      <c r="NH23" s="13">
        <f t="shared" si="49"/>
        <v>0</v>
      </c>
      <c r="NI23" s="12">
        <f t="shared" si="166"/>
        <v>-4.6757853053856491E-2</v>
      </c>
      <c r="NJ23" s="13">
        <v>18495.919999999998</v>
      </c>
      <c r="NK23" s="4">
        <v>0</v>
      </c>
      <c r="NL23" s="13">
        <v>17304.38</v>
      </c>
      <c r="NM23" s="13">
        <f t="shared" si="50"/>
        <v>0</v>
      </c>
      <c r="NN23" s="12">
        <f t="shared" si="167"/>
        <v>-6.4421775180688368E-2</v>
      </c>
      <c r="NO23" s="13">
        <v>15173.87</v>
      </c>
      <c r="NP23" s="4">
        <v>0</v>
      </c>
      <c r="NQ23" s="13">
        <v>14464.39</v>
      </c>
      <c r="NR23" s="13">
        <f t="shared" si="51"/>
        <v>0</v>
      </c>
      <c r="NS23" s="12">
        <f t="shared" si="168"/>
        <v>-4.675669423818718E-2</v>
      </c>
      <c r="NT23" s="13">
        <v>17232.22</v>
      </c>
      <c r="NU23" s="4">
        <v>0</v>
      </c>
      <c r="NV23" s="13">
        <v>16426.509999999998</v>
      </c>
      <c r="NW23" s="13">
        <f t="shared" si="52"/>
        <v>0</v>
      </c>
      <c r="NX23" s="12">
        <f t="shared" si="169"/>
        <v>-4.6756018667357013E-2</v>
      </c>
      <c r="NY23" s="13">
        <v>13493.34</v>
      </c>
      <c r="NZ23" s="4">
        <v>0</v>
      </c>
      <c r="OA23" s="13">
        <v>12624.07</v>
      </c>
      <c r="OB23" s="13">
        <f t="shared" si="53"/>
        <v>0</v>
      </c>
      <c r="OC23" s="12">
        <f t="shared" si="170"/>
        <v>-6.4422151965339958E-2</v>
      </c>
      <c r="OD23" s="15">
        <v>24816.76</v>
      </c>
      <c r="OE23" s="4">
        <v>0</v>
      </c>
      <c r="OF23" s="13">
        <v>24312.93</v>
      </c>
      <c r="OG23" s="13">
        <f t="shared" si="54"/>
        <v>0</v>
      </c>
      <c r="OH23" s="12">
        <f t="shared" si="171"/>
        <v>-2.0302005580099869E-2</v>
      </c>
      <c r="OI23" s="15">
        <v>13302.06</v>
      </c>
      <c r="OJ23" s="4">
        <v>0</v>
      </c>
      <c r="OK23" s="13">
        <v>12445.11</v>
      </c>
      <c r="OL23" s="13">
        <f t="shared" si="55"/>
        <v>0</v>
      </c>
      <c r="OM23" s="12">
        <f t="shared" si="172"/>
        <v>-6.4422352628089152E-2</v>
      </c>
      <c r="ON23" s="13">
        <v>16910.169999999998</v>
      </c>
      <c r="OO23" s="4">
        <v>0</v>
      </c>
      <c r="OP23" s="13">
        <v>15820.79</v>
      </c>
      <c r="OQ23" s="13">
        <f t="shared" si="56"/>
        <v>0</v>
      </c>
      <c r="OR23" s="12">
        <f t="shared" si="173"/>
        <v>-6.442158771910611E-2</v>
      </c>
      <c r="OS23" s="13">
        <v>12537.96</v>
      </c>
      <c r="OT23" s="4">
        <v>0</v>
      </c>
      <c r="OU23" s="13">
        <v>11730.23</v>
      </c>
      <c r="OV23" s="13">
        <f t="shared" si="57"/>
        <v>0</v>
      </c>
      <c r="OW23" s="12">
        <f t="shared" si="174"/>
        <v>-6.4422760959518155E-2</v>
      </c>
      <c r="OX23" s="13">
        <v>12690.43</v>
      </c>
      <c r="OY23" s="4">
        <v>0</v>
      </c>
      <c r="OZ23" s="13">
        <v>11421.86</v>
      </c>
      <c r="PA23" s="13">
        <f t="shared" si="58"/>
        <v>0</v>
      </c>
      <c r="PB23" s="12">
        <f t="shared" si="175"/>
        <v>-9.9962727819309483E-2</v>
      </c>
      <c r="PC23" s="13">
        <v>12690.43</v>
      </c>
      <c r="PD23" s="4">
        <v>0</v>
      </c>
      <c r="PE23" s="13">
        <v>12097.06</v>
      </c>
      <c r="PF23" s="13">
        <f t="shared" si="59"/>
        <v>0</v>
      </c>
      <c r="PG23" s="12">
        <f t="shared" si="176"/>
        <v>-4.6757280880159402E-2</v>
      </c>
      <c r="PH23" s="13">
        <v>25570.17</v>
      </c>
      <c r="PI23" s="4">
        <v>0</v>
      </c>
      <c r="PJ23" s="13">
        <v>24599.34</v>
      </c>
      <c r="PK23" s="13">
        <f t="shared" si="60"/>
        <v>0</v>
      </c>
      <c r="PL23" s="12">
        <f t="shared" si="177"/>
        <v>-3.7967287663711158E-2</v>
      </c>
      <c r="PN23" s="3" t="s">
        <v>11</v>
      </c>
      <c r="PO23" s="15">
        <v>32002.57</v>
      </c>
      <c r="PP23" s="4"/>
      <c r="PQ23" s="13"/>
      <c r="PR23" s="13">
        <f t="shared" si="61"/>
        <v>0</v>
      </c>
      <c r="PS23" s="12">
        <f t="shared" si="178"/>
        <v>-1</v>
      </c>
      <c r="PT23" s="13">
        <v>17063.740000000002</v>
      </c>
      <c r="PU23" s="4">
        <v>0</v>
      </c>
      <c r="PV23" s="13"/>
      <c r="PW23" s="13">
        <f t="shared" si="62"/>
        <v>0</v>
      </c>
      <c r="PX23" s="12">
        <f t="shared" si="179"/>
        <v>-1</v>
      </c>
      <c r="PY23" s="13">
        <v>20838.330000000002</v>
      </c>
      <c r="PZ23" s="4">
        <v>0</v>
      </c>
      <c r="QA23" s="13"/>
      <c r="QB23" s="13">
        <f t="shared" si="63"/>
        <v>0</v>
      </c>
      <c r="QC23" s="12">
        <f t="shared" si="180"/>
        <v>-1</v>
      </c>
      <c r="QD23" s="15">
        <v>17155.009999999998</v>
      </c>
      <c r="QE23" s="4"/>
      <c r="QF23" s="13"/>
      <c r="QG23" s="13">
        <f t="shared" si="64"/>
        <v>0</v>
      </c>
      <c r="QH23" s="12">
        <f t="shared" si="181"/>
        <v>-1</v>
      </c>
      <c r="QI23" s="15">
        <v>16504.7</v>
      </c>
      <c r="QJ23" s="4"/>
      <c r="QK23" s="13"/>
      <c r="QL23" s="13">
        <f t="shared" si="65"/>
        <v>0</v>
      </c>
      <c r="QM23" s="12">
        <f t="shared" si="182"/>
        <v>-1</v>
      </c>
      <c r="QN23" s="15">
        <v>15083.85</v>
      </c>
      <c r="QO23" s="4"/>
      <c r="QP23" s="13"/>
      <c r="QQ23" s="13">
        <f t="shared" si="66"/>
        <v>0</v>
      </c>
      <c r="QR23" s="12">
        <f t="shared" si="183"/>
        <v>-1</v>
      </c>
      <c r="QS23" s="15">
        <v>17354.169999999998</v>
      </c>
      <c r="QT23" s="4"/>
      <c r="QU23" s="13"/>
      <c r="QV23" s="13">
        <f t="shared" si="67"/>
        <v>0</v>
      </c>
      <c r="QW23" s="12">
        <f t="shared" si="184"/>
        <v>-1</v>
      </c>
      <c r="QX23" s="15">
        <v>14237.19</v>
      </c>
      <c r="QY23" s="4"/>
      <c r="QZ23" s="13"/>
      <c r="RA23" s="13">
        <f t="shared" si="68"/>
        <v>0</v>
      </c>
      <c r="RB23" s="12">
        <f t="shared" si="185"/>
        <v>-1</v>
      </c>
      <c r="RC23" s="15">
        <v>16168.48</v>
      </c>
      <c r="RD23" s="4"/>
      <c r="RE23" s="13"/>
      <c r="RF23" s="13">
        <f t="shared" si="69"/>
        <v>0</v>
      </c>
      <c r="RG23" s="12">
        <f t="shared" si="186"/>
        <v>-1</v>
      </c>
      <c r="RH23" s="15">
        <v>12660.4</v>
      </c>
      <c r="RI23" s="4"/>
      <c r="RJ23" s="13"/>
      <c r="RK23" s="13">
        <f t="shared" si="70"/>
        <v>0</v>
      </c>
      <c r="RL23" s="12">
        <f t="shared" si="187"/>
        <v>-1</v>
      </c>
      <c r="RM23" s="15">
        <v>23284.82</v>
      </c>
      <c r="RN23" s="4"/>
      <c r="RO23" s="13"/>
      <c r="RP23" s="13">
        <f t="shared" si="71"/>
        <v>0</v>
      </c>
      <c r="RQ23" s="12">
        <f t="shared" si="188"/>
        <v>-1</v>
      </c>
      <c r="RR23" s="15">
        <v>12480.93</v>
      </c>
      <c r="RS23" s="4"/>
      <c r="RT23" s="13"/>
      <c r="RU23" s="13">
        <f t="shared" si="72"/>
        <v>0</v>
      </c>
      <c r="RV23" s="12">
        <f t="shared" si="189"/>
        <v>-1</v>
      </c>
      <c r="RW23" s="15">
        <v>15866.31</v>
      </c>
      <c r="RX23" s="4"/>
      <c r="RY23" s="13"/>
      <c r="RZ23" s="13">
        <f t="shared" si="73"/>
        <v>0</v>
      </c>
      <c r="SA23" s="12">
        <f t="shared" si="190"/>
        <v>-1</v>
      </c>
      <c r="SB23" s="15">
        <v>11763.99</v>
      </c>
      <c r="SC23" s="4"/>
      <c r="SD23" s="13"/>
      <c r="SE23" s="13">
        <f t="shared" si="74"/>
        <v>0</v>
      </c>
      <c r="SF23" s="12">
        <f t="shared" si="191"/>
        <v>-1</v>
      </c>
      <c r="SG23" s="15">
        <v>11907.05</v>
      </c>
      <c r="SH23" s="4"/>
      <c r="SI23" s="13"/>
      <c r="SJ23" s="13">
        <f t="shared" si="75"/>
        <v>0</v>
      </c>
      <c r="SK23" s="12">
        <f t="shared" si="192"/>
        <v>-1</v>
      </c>
      <c r="SL23" s="15">
        <v>23991.73</v>
      </c>
      <c r="SM23" s="4"/>
      <c r="SN23" s="13"/>
      <c r="SO23" s="13">
        <f t="shared" si="76"/>
        <v>0</v>
      </c>
      <c r="SP23" s="12">
        <f t="shared" si="193"/>
        <v>-1</v>
      </c>
    </row>
    <row r="24" spans="1:510" x14ac:dyDescent="0.25">
      <c r="A24" s="3" t="s">
        <v>12</v>
      </c>
      <c r="B24" s="13">
        <v>27547.48</v>
      </c>
      <c r="C24" s="4">
        <v>0</v>
      </c>
      <c r="D24" s="13">
        <v>24792.65</v>
      </c>
      <c r="E24" s="13">
        <f t="shared" si="77"/>
        <v>0</v>
      </c>
      <c r="F24" s="20">
        <f t="shared" si="78"/>
        <v>-0.10000297667881053</v>
      </c>
      <c r="H24" s="3" t="s">
        <v>12</v>
      </c>
      <c r="I24" s="13">
        <v>8596.66</v>
      </c>
      <c r="J24" s="4">
        <v>0</v>
      </c>
      <c r="K24" s="13">
        <v>7737.31</v>
      </c>
      <c r="L24" s="13">
        <f t="shared" si="0"/>
        <v>0</v>
      </c>
      <c r="M24" s="20">
        <f t="shared" si="79"/>
        <v>-9.9963241537992631E-2</v>
      </c>
      <c r="O24" s="3" t="s">
        <v>12</v>
      </c>
      <c r="P24" s="13">
        <v>25575.48</v>
      </c>
      <c r="Q24" s="4">
        <v>0</v>
      </c>
      <c r="R24" s="13">
        <v>23017.87</v>
      </c>
      <c r="S24" s="13">
        <f t="shared" si="1"/>
        <v>0</v>
      </c>
      <c r="T24" s="20">
        <f t="shared" si="80"/>
        <v>-0.10000242419692618</v>
      </c>
      <c r="V24" s="3" t="s">
        <v>12</v>
      </c>
      <c r="W24" s="15">
        <v>28087.46</v>
      </c>
      <c r="X24" s="4">
        <v>0</v>
      </c>
      <c r="Y24" s="13">
        <v>26412.959999999999</v>
      </c>
      <c r="Z24" s="13">
        <f t="shared" si="2"/>
        <v>0</v>
      </c>
      <c r="AA24" s="12">
        <f t="shared" si="81"/>
        <v>-5.9617352370061272E-2</v>
      </c>
      <c r="AB24" s="15">
        <v>24357.040000000001</v>
      </c>
      <c r="AC24" s="4">
        <v>0</v>
      </c>
      <c r="AD24" s="13">
        <v>23116.1</v>
      </c>
      <c r="AE24" s="13">
        <f t="shared" si="3"/>
        <v>0</v>
      </c>
      <c r="AF24" s="12">
        <f t="shared" si="82"/>
        <v>-5.094789843100811E-2</v>
      </c>
      <c r="AG24" s="33">
        <v>22732.49</v>
      </c>
      <c r="AH24" s="4">
        <v>0</v>
      </c>
      <c r="AI24" s="13">
        <v>21596.36</v>
      </c>
      <c r="AJ24" s="13">
        <f t="shared" si="4"/>
        <v>0</v>
      </c>
      <c r="AK24" s="12">
        <f t="shared" si="83"/>
        <v>-4.997824699362019E-2</v>
      </c>
      <c r="AL24" s="15">
        <v>20433.12</v>
      </c>
      <c r="AM24" s="4">
        <v>0</v>
      </c>
      <c r="AN24" s="13">
        <v>18858.84</v>
      </c>
      <c r="AO24" s="13">
        <f t="shared" si="5"/>
        <v>0</v>
      </c>
      <c r="AP24" s="12">
        <f t="shared" si="84"/>
        <v>-7.7045502595785575E-2</v>
      </c>
      <c r="AQ24" s="15">
        <v>20168.03</v>
      </c>
      <c r="AR24" s="4">
        <v>0</v>
      </c>
      <c r="AS24" s="13">
        <v>18614.2</v>
      </c>
      <c r="AT24" s="13">
        <f t="shared" si="6"/>
        <v>0</v>
      </c>
      <c r="AU24" s="12">
        <f t="shared" si="85"/>
        <v>-7.7044213044109799E-2</v>
      </c>
      <c r="AV24" s="33">
        <v>18783.14</v>
      </c>
      <c r="AW24" s="4">
        <v>0</v>
      </c>
      <c r="AX24" s="13">
        <v>17513.72</v>
      </c>
      <c r="AY24" s="13">
        <f t="shared" si="7"/>
        <v>0</v>
      </c>
      <c r="AZ24" s="12">
        <f t="shared" si="86"/>
        <v>-6.7582949389718538E-2</v>
      </c>
      <c r="BB24" s="3" t="s">
        <v>12</v>
      </c>
      <c r="BC24" s="15">
        <v>8596.66</v>
      </c>
      <c r="BD24" s="4">
        <v>0</v>
      </c>
      <c r="BE24" s="13">
        <v>8167.22</v>
      </c>
      <c r="BF24" s="13">
        <f t="shared" si="8"/>
        <v>0</v>
      </c>
      <c r="BG24" s="12">
        <f t="shared" si="87"/>
        <v>-4.9954284570984497E-2</v>
      </c>
      <c r="BH24" s="15">
        <v>7683.33</v>
      </c>
      <c r="BI24" s="4">
        <v>0</v>
      </c>
      <c r="BJ24" s="13">
        <v>7436.88</v>
      </c>
      <c r="BK24" s="13">
        <f t="shared" si="9"/>
        <v>0</v>
      </c>
      <c r="BL24" s="12">
        <f t="shared" si="88"/>
        <v>-3.207593582470103E-2</v>
      </c>
      <c r="BM24" s="13">
        <v>7188.53</v>
      </c>
      <c r="BN24" s="4">
        <v>0</v>
      </c>
      <c r="BO24" s="13">
        <v>6829.44</v>
      </c>
      <c r="BP24" s="13">
        <f t="shared" si="10"/>
        <v>0</v>
      </c>
      <c r="BQ24" s="12">
        <f t="shared" si="89"/>
        <v>-4.9953189316870095E-2</v>
      </c>
      <c r="BR24" s="13">
        <v>6393.85</v>
      </c>
      <c r="BS24" s="4">
        <v>0</v>
      </c>
      <c r="BT24" s="13">
        <v>6074.45</v>
      </c>
      <c r="BU24" s="13">
        <f t="shared" si="11"/>
        <v>0</v>
      </c>
      <c r="BV24" s="12">
        <f t="shared" si="90"/>
        <v>-4.9954252914910513E-2</v>
      </c>
      <c r="BW24" s="15">
        <v>6364.56</v>
      </c>
      <c r="BX24" s="4">
        <v>0</v>
      </c>
      <c r="BY24" s="13">
        <v>6046.62</v>
      </c>
      <c r="BZ24" s="13">
        <f t="shared" si="12"/>
        <v>0</v>
      </c>
      <c r="CA24" s="12">
        <f t="shared" si="91"/>
        <v>-4.9954749424940714E-2</v>
      </c>
      <c r="CB24" s="15">
        <v>5999.51</v>
      </c>
      <c r="CC24" s="4">
        <v>0</v>
      </c>
      <c r="CD24" s="13">
        <v>5699.8</v>
      </c>
      <c r="CE24" s="13">
        <f t="shared" si="13"/>
        <v>0</v>
      </c>
      <c r="CF24" s="12">
        <f t="shared" si="92"/>
        <v>-4.9955746385954902E-2</v>
      </c>
      <c r="CH24" s="3" t="s">
        <v>12</v>
      </c>
      <c r="CI24" s="13">
        <v>25876.27</v>
      </c>
      <c r="CJ24" s="4">
        <v>0</v>
      </c>
      <c r="CK24" s="13">
        <v>24691.35</v>
      </c>
      <c r="CL24" s="13">
        <f t="shared" si="14"/>
        <v>0</v>
      </c>
      <c r="CM24" s="12">
        <f t="shared" si="93"/>
        <v>-4.5791762104816613E-2</v>
      </c>
      <c r="CN24" s="15">
        <v>22752.19</v>
      </c>
      <c r="CO24" s="4">
        <v>0</v>
      </c>
      <c r="CP24" s="13">
        <v>21710.27</v>
      </c>
      <c r="CQ24" s="13">
        <f t="shared" si="15"/>
        <v>0</v>
      </c>
      <c r="CR24" s="12">
        <f t="shared" si="94"/>
        <v>-4.5794272990863694E-2</v>
      </c>
      <c r="CS24" s="13">
        <v>21475.119999999999</v>
      </c>
      <c r="CT24" s="4">
        <v>0</v>
      </c>
      <c r="CU24" s="13">
        <v>20491.71</v>
      </c>
      <c r="CV24" s="13">
        <f t="shared" si="16"/>
        <v>0</v>
      </c>
      <c r="CW24" s="12">
        <f t="shared" si="95"/>
        <v>-4.5792992076412187E-2</v>
      </c>
      <c r="CX24" s="13">
        <v>19096.689999999999</v>
      </c>
      <c r="CY24" s="4">
        <v>0</v>
      </c>
      <c r="CZ24" s="13">
        <v>17884.490000000002</v>
      </c>
      <c r="DA24" s="13">
        <f t="shared" si="17"/>
        <v>0</v>
      </c>
      <c r="DB24" s="12">
        <f t="shared" si="96"/>
        <v>-6.3476969045420772E-2</v>
      </c>
      <c r="DC24" s="15">
        <v>18825.990000000002</v>
      </c>
      <c r="DD24" s="4">
        <v>0</v>
      </c>
      <c r="DE24" s="13">
        <v>17630.97</v>
      </c>
      <c r="DF24" s="13">
        <f t="shared" si="18"/>
        <v>0</v>
      </c>
      <c r="DG24" s="12">
        <f t="shared" si="97"/>
        <v>-6.3477139847625597E-2</v>
      </c>
      <c r="DH24" s="13">
        <v>17744.580000000002</v>
      </c>
      <c r="DI24" s="4">
        <v>0</v>
      </c>
      <c r="DJ24" s="13">
        <v>16618.22</v>
      </c>
      <c r="DK24" s="13">
        <f t="shared" si="19"/>
        <v>0</v>
      </c>
      <c r="DL24" s="12">
        <f t="shared" si="98"/>
        <v>-6.3476284025882901E-2</v>
      </c>
      <c r="DN24" s="3" t="s">
        <v>12</v>
      </c>
      <c r="DO24" s="13">
        <v>47657.89</v>
      </c>
      <c r="DP24" s="4">
        <v>0</v>
      </c>
      <c r="DQ24" s="13">
        <v>47663.51</v>
      </c>
      <c r="DR24" s="13">
        <f t="shared" si="20"/>
        <v>0</v>
      </c>
      <c r="DS24" s="20">
        <f t="shared" si="99"/>
        <v>1.179238107269498E-4</v>
      </c>
      <c r="DU24" s="3" t="s">
        <v>12</v>
      </c>
      <c r="DV24" s="13">
        <v>37976.379999999997</v>
      </c>
      <c r="DW24" s="4">
        <v>0</v>
      </c>
      <c r="DX24" s="13">
        <v>37980.879999999997</v>
      </c>
      <c r="DY24" s="13">
        <f t="shared" si="21"/>
        <v>0</v>
      </c>
      <c r="DZ24" s="20">
        <f t="shared" si="100"/>
        <v>1.1849470644653692E-4</v>
      </c>
      <c r="EB24" s="3" t="s">
        <v>12</v>
      </c>
      <c r="EC24" s="13">
        <v>37976.379999999997</v>
      </c>
      <c r="ED24" s="4">
        <v>0</v>
      </c>
      <c r="EE24" s="13">
        <v>37980.879999999997</v>
      </c>
      <c r="EF24" s="13">
        <f t="shared" si="22"/>
        <v>0</v>
      </c>
      <c r="EG24" s="20">
        <f t="shared" si="101"/>
        <v>1.1849470644653692E-4</v>
      </c>
      <c r="EI24" s="3" t="s">
        <v>12</v>
      </c>
      <c r="EJ24" s="13">
        <v>46452.92</v>
      </c>
      <c r="EK24" s="4">
        <v>0</v>
      </c>
      <c r="EL24" s="13">
        <v>44653.65</v>
      </c>
      <c r="EM24" s="13">
        <f t="shared" si="102"/>
        <v>0</v>
      </c>
      <c r="EN24" s="20">
        <f t="shared" si="103"/>
        <v>-3.8733194813156957E-2</v>
      </c>
      <c r="EO24" s="13">
        <v>23900.3</v>
      </c>
      <c r="EP24" s="4">
        <v>0</v>
      </c>
      <c r="EQ24" s="13">
        <v>21510.27</v>
      </c>
      <c r="ER24" s="13">
        <f t="shared" si="104"/>
        <v>0</v>
      </c>
      <c r="ES24" s="20">
        <f t="shared" si="105"/>
        <v>-9.9999999999999978E-2</v>
      </c>
      <c r="ET24" s="13">
        <v>31211.43</v>
      </c>
      <c r="EU24" s="4">
        <v>0</v>
      </c>
      <c r="EV24" s="13">
        <v>30820.05</v>
      </c>
      <c r="EW24" s="13">
        <f t="shared" si="106"/>
        <v>0</v>
      </c>
      <c r="EX24" s="20">
        <f t="shared" si="107"/>
        <v>-1.2539636921473973E-2</v>
      </c>
      <c r="EY24" s="15">
        <v>24360.06</v>
      </c>
      <c r="EZ24" s="4">
        <v>0</v>
      </c>
      <c r="FA24" s="13">
        <v>22992.54</v>
      </c>
      <c r="FB24" s="13">
        <f t="shared" si="108"/>
        <v>0</v>
      </c>
      <c r="FC24" s="20">
        <f t="shared" si="109"/>
        <v>-5.6137792764057282E-2</v>
      </c>
      <c r="FD24" s="15">
        <v>22013.73</v>
      </c>
      <c r="FE24" s="4">
        <v>0</v>
      </c>
      <c r="FF24" s="13">
        <v>20969.5</v>
      </c>
      <c r="FG24" s="13">
        <f t="shared" si="110"/>
        <v>0</v>
      </c>
      <c r="FH24" s="20">
        <f t="shared" si="111"/>
        <v>-4.7435396000586882E-2</v>
      </c>
      <c r="FI24" s="13">
        <v>21124.69</v>
      </c>
      <c r="FJ24" s="4">
        <v>0</v>
      </c>
      <c r="FK24" s="13">
        <v>21125.5</v>
      </c>
      <c r="FL24" s="13">
        <f t="shared" si="112"/>
        <v>0</v>
      </c>
      <c r="FM24" s="20">
        <f t="shared" si="113"/>
        <v>3.8343757943870571E-5</v>
      </c>
      <c r="FN24" s="13">
        <v>21124.69</v>
      </c>
      <c r="FO24" s="4">
        <v>0</v>
      </c>
      <c r="FP24" s="13">
        <v>19014.03</v>
      </c>
      <c r="FQ24" s="13">
        <f t="shared" si="114"/>
        <v>0</v>
      </c>
      <c r="FR24" s="20">
        <f t="shared" si="115"/>
        <v>-9.9914365607258637E-2</v>
      </c>
      <c r="FS24" s="13">
        <v>21124.69</v>
      </c>
      <c r="FT24" s="4">
        <v>0</v>
      </c>
      <c r="FU24" s="13">
        <v>20122.62</v>
      </c>
      <c r="FV24" s="13">
        <f t="shared" si="116"/>
        <v>0</v>
      </c>
      <c r="FW24" s="20">
        <f t="shared" si="117"/>
        <v>-4.7435962373885698E-2</v>
      </c>
      <c r="FX24" s="15">
        <v>24145.78</v>
      </c>
      <c r="FY24" s="4">
        <v>0</v>
      </c>
      <c r="FZ24" s="13">
        <v>22367.95</v>
      </c>
      <c r="GA24" s="13">
        <f t="shared" si="118"/>
        <v>0</v>
      </c>
      <c r="GB24" s="20">
        <f t="shared" si="119"/>
        <v>-7.3629015090835637E-2</v>
      </c>
      <c r="GC24" s="13">
        <v>19917.830000000002</v>
      </c>
      <c r="GD24" s="4">
        <v>0</v>
      </c>
      <c r="GE24" s="13">
        <v>18799.68</v>
      </c>
      <c r="GF24" s="13">
        <f t="shared" si="120"/>
        <v>0</v>
      </c>
      <c r="GG24" s="20">
        <f t="shared" si="121"/>
        <v>-5.613814356282798E-2</v>
      </c>
      <c r="GH24" s="15">
        <v>22501.67</v>
      </c>
      <c r="GI24" s="4">
        <v>0</v>
      </c>
      <c r="GJ24" s="13">
        <v>21238.49</v>
      </c>
      <c r="GK24" s="13">
        <f t="shared" si="122"/>
        <v>0</v>
      </c>
      <c r="GL24" s="20">
        <f t="shared" si="123"/>
        <v>-5.6137166708070896E-2</v>
      </c>
      <c r="GM24" s="15">
        <v>17721.5</v>
      </c>
      <c r="GN24" s="4">
        <v>0</v>
      </c>
      <c r="GO24" s="13">
        <v>16416.669999999998</v>
      </c>
      <c r="GP24" s="13">
        <f t="shared" si="124"/>
        <v>0</v>
      </c>
      <c r="GQ24" s="20">
        <f t="shared" si="125"/>
        <v>-7.3629771746184125E-2</v>
      </c>
      <c r="GR24" s="13">
        <v>38523.32</v>
      </c>
      <c r="GS24" s="4">
        <v>0</v>
      </c>
      <c r="GT24" s="13">
        <v>37369.79</v>
      </c>
      <c r="GU24" s="13">
        <f t="shared" si="126"/>
        <v>0</v>
      </c>
      <c r="GV24" s="20">
        <f t="shared" si="127"/>
        <v>-2.9943680866550415E-2</v>
      </c>
      <c r="GW24" s="15">
        <v>17491.599999999999</v>
      </c>
      <c r="GX24" s="4">
        <v>0</v>
      </c>
      <c r="GY24" s="13">
        <v>16203.7</v>
      </c>
      <c r="GZ24" s="13">
        <f t="shared" si="128"/>
        <v>0</v>
      </c>
      <c r="HA24" s="20">
        <f t="shared" si="129"/>
        <v>-7.3629627935694719E-2</v>
      </c>
      <c r="HB24" s="15">
        <v>23219.38</v>
      </c>
      <c r="HC24" s="4">
        <v>0</v>
      </c>
      <c r="HD24" s="13">
        <v>21509.75</v>
      </c>
      <c r="HE24" s="13">
        <f t="shared" si="130"/>
        <v>0</v>
      </c>
      <c r="HF24" s="20">
        <f t="shared" si="131"/>
        <v>-7.3629442302077019E-2</v>
      </c>
      <c r="HG24" s="15">
        <v>16457.48</v>
      </c>
      <c r="HH24" s="4">
        <v>0</v>
      </c>
      <c r="HI24" s="13">
        <v>15245.73</v>
      </c>
      <c r="HJ24" s="13">
        <f t="shared" si="132"/>
        <v>0</v>
      </c>
      <c r="HK24" s="20">
        <f t="shared" si="133"/>
        <v>-7.3629133986491291E-2</v>
      </c>
      <c r="HL24" s="13">
        <v>16648.38</v>
      </c>
      <c r="HM24" s="4">
        <v>0</v>
      </c>
      <c r="HN24" s="13">
        <v>14984.24</v>
      </c>
      <c r="HO24" s="13">
        <f t="shared" si="134"/>
        <v>0</v>
      </c>
      <c r="HP24" s="20">
        <f t="shared" si="135"/>
        <v>-9.995807399879153E-2</v>
      </c>
      <c r="HQ24" s="13">
        <v>16648.38</v>
      </c>
      <c r="HR24" s="4">
        <v>0</v>
      </c>
      <c r="HS24" s="13">
        <v>15422.57</v>
      </c>
      <c r="HT24" s="13">
        <f t="shared" si="136"/>
        <v>0</v>
      </c>
      <c r="HU24" s="20">
        <f t="shared" si="137"/>
        <v>-7.362938616249759E-2</v>
      </c>
      <c r="HV24" s="13">
        <v>41851.51</v>
      </c>
      <c r="HW24" s="4">
        <v>0</v>
      </c>
      <c r="HX24" s="13">
        <v>41326.75</v>
      </c>
      <c r="HY24" s="13">
        <f t="shared" si="138"/>
        <v>0</v>
      </c>
      <c r="HZ24" s="20">
        <f t="shared" si="139"/>
        <v>-1.2538615691524702E-2</v>
      </c>
      <c r="IB24" s="3" t="s">
        <v>12</v>
      </c>
      <c r="IC24" s="15">
        <v>14054.7</v>
      </c>
      <c r="ID24" s="4">
        <v>0</v>
      </c>
      <c r="IE24" s="13">
        <v>13486.29</v>
      </c>
      <c r="IF24" s="13">
        <f t="shared" si="23"/>
        <v>0</v>
      </c>
      <c r="IG24" s="20">
        <f t="shared" si="140"/>
        <v>-4.0442698883647488E-2</v>
      </c>
      <c r="IH24" s="13">
        <v>7436.29</v>
      </c>
      <c r="II24" s="4">
        <v>0</v>
      </c>
      <c r="IJ24" s="13">
        <v>6692.62</v>
      </c>
      <c r="IK24" s="13">
        <f t="shared" si="24"/>
        <v>0</v>
      </c>
      <c r="IL24" s="20">
        <f t="shared" si="141"/>
        <v>-0.10000551350202858</v>
      </c>
      <c r="IM24" s="13">
        <v>8943.41</v>
      </c>
      <c r="IN24" s="4">
        <v>0</v>
      </c>
      <c r="IO24" s="13">
        <v>8819.8799999999992</v>
      </c>
      <c r="IP24" s="13">
        <f t="shared" si="25"/>
        <v>0</v>
      </c>
      <c r="IQ24" s="20">
        <f t="shared" si="142"/>
        <v>-1.3812404888068452E-2</v>
      </c>
      <c r="IR24" s="13">
        <v>7480.56</v>
      </c>
      <c r="IS24" s="4">
        <v>0</v>
      </c>
      <c r="IT24" s="13">
        <v>7045.44</v>
      </c>
      <c r="IU24" s="13">
        <f t="shared" si="26"/>
        <v>0</v>
      </c>
      <c r="IV24" s="20">
        <f t="shared" si="143"/>
        <v>-5.8166768263338664E-2</v>
      </c>
      <c r="IW24" s="15">
        <v>6266.64</v>
      </c>
      <c r="IX24" s="4">
        <v>0</v>
      </c>
      <c r="IY24" s="13">
        <v>5902.12</v>
      </c>
      <c r="IZ24" s="13">
        <f t="shared" si="27"/>
        <v>0</v>
      </c>
      <c r="JA24" s="20">
        <f t="shared" si="144"/>
        <v>-5.8168332631202802E-2</v>
      </c>
      <c r="JB24" s="13">
        <v>6685.82</v>
      </c>
      <c r="JC24" s="4">
        <v>0</v>
      </c>
      <c r="JD24" s="13">
        <v>6685.96</v>
      </c>
      <c r="JE24" s="13">
        <f t="shared" si="28"/>
        <v>0</v>
      </c>
      <c r="JF24" s="20">
        <f t="shared" si="145"/>
        <v>2.0939839840083962E-5</v>
      </c>
      <c r="JG24" s="13">
        <v>6685.82</v>
      </c>
      <c r="JH24" s="4">
        <v>0</v>
      </c>
      <c r="JI24" s="13">
        <v>6017.28</v>
      </c>
      <c r="JJ24" s="13">
        <f t="shared" si="29"/>
        <v>0</v>
      </c>
      <c r="JK24" s="20">
        <f t="shared" si="146"/>
        <v>-9.9993718048047908E-2</v>
      </c>
      <c r="JL24" s="13">
        <v>6685.82</v>
      </c>
      <c r="JM24" s="4">
        <v>0</v>
      </c>
      <c r="JN24" s="13">
        <v>6415.42</v>
      </c>
      <c r="JO24" s="13">
        <f t="shared" si="30"/>
        <v>0</v>
      </c>
      <c r="JP24" s="20">
        <f t="shared" si="147"/>
        <v>-4.0443804948383288E-2</v>
      </c>
      <c r="JQ24" s="15">
        <v>7703.8</v>
      </c>
      <c r="JR24" s="4">
        <v>0</v>
      </c>
      <c r="JS24" s="13">
        <v>7255.69</v>
      </c>
      <c r="JT24" s="13">
        <f t="shared" si="31"/>
        <v>0</v>
      </c>
      <c r="JU24" s="20">
        <f t="shared" si="148"/>
        <v>-5.816739790752623E-2</v>
      </c>
      <c r="JV24" s="15">
        <v>6255.26</v>
      </c>
      <c r="JW24" s="4">
        <v>0</v>
      </c>
      <c r="JX24" s="13">
        <v>5891.41</v>
      </c>
      <c r="JY24" s="13">
        <f t="shared" si="32"/>
        <v>0</v>
      </c>
      <c r="JZ24" s="20">
        <f t="shared" si="149"/>
        <v>-5.8167046613570084E-2</v>
      </c>
      <c r="KA24" s="13">
        <v>7178.22</v>
      </c>
      <c r="KB24" s="4">
        <v>0</v>
      </c>
      <c r="KC24" s="13">
        <v>6824.62</v>
      </c>
      <c r="KD24" s="13">
        <f t="shared" si="33"/>
        <v>0</v>
      </c>
      <c r="KE24" s="20">
        <f t="shared" si="150"/>
        <v>-4.9260122983135091E-2</v>
      </c>
      <c r="KF24" s="15">
        <v>5563.74</v>
      </c>
      <c r="KG24" s="4">
        <v>0</v>
      </c>
      <c r="KH24" s="13">
        <v>5240.12</v>
      </c>
      <c r="KI24" s="13">
        <f t="shared" si="34"/>
        <v>0</v>
      </c>
      <c r="KJ24" s="20">
        <f t="shared" si="151"/>
        <v>-5.8165909981415354E-2</v>
      </c>
      <c r="KK24" s="15">
        <v>9259.7199999999993</v>
      </c>
      <c r="KL24" s="4">
        <v>0</v>
      </c>
      <c r="KM24" s="13">
        <v>9131.81</v>
      </c>
      <c r="KN24" s="13">
        <f t="shared" si="35"/>
        <v>0</v>
      </c>
      <c r="KO24" s="20">
        <f t="shared" si="152"/>
        <v>-1.3813592635630423E-2</v>
      </c>
      <c r="KP24" s="15">
        <v>5538.27</v>
      </c>
      <c r="KQ24" s="4">
        <v>0</v>
      </c>
      <c r="KR24" s="13">
        <v>5216.12</v>
      </c>
      <c r="KS24" s="13">
        <f t="shared" si="36"/>
        <v>0</v>
      </c>
      <c r="KT24" s="20">
        <f t="shared" si="153"/>
        <v>-5.8167983864997663E-2</v>
      </c>
      <c r="KU24" s="13">
        <v>7054.43</v>
      </c>
      <c r="KV24" s="4">
        <v>0</v>
      </c>
      <c r="KW24" s="13">
        <v>6644.1</v>
      </c>
      <c r="KX24" s="13">
        <f t="shared" si="37"/>
        <v>0</v>
      </c>
      <c r="KY24" s="20">
        <f t="shared" si="154"/>
        <v>-5.8166286999800088E-2</v>
      </c>
      <c r="KZ24" s="15">
        <v>5220.6000000000004</v>
      </c>
      <c r="LA24" s="4">
        <v>0</v>
      </c>
      <c r="LB24" s="13">
        <v>4916.93</v>
      </c>
      <c r="LC24" s="13">
        <f t="shared" si="38"/>
        <v>0</v>
      </c>
      <c r="LD24" s="20">
        <f t="shared" si="155"/>
        <v>-5.8167643565873672E-2</v>
      </c>
      <c r="LE24" s="13">
        <v>5231.3999999999996</v>
      </c>
      <c r="LF24" s="4">
        <v>0</v>
      </c>
      <c r="LG24" s="13">
        <v>4708.88</v>
      </c>
      <c r="LH24" s="13">
        <f t="shared" si="39"/>
        <v>0</v>
      </c>
      <c r="LI24" s="20">
        <f t="shared" si="156"/>
        <v>-9.9881484879764448E-2</v>
      </c>
      <c r="LJ24" s="13">
        <v>5231.3999999999996</v>
      </c>
      <c r="LK24" s="4">
        <v>0</v>
      </c>
      <c r="LL24" s="13">
        <v>4927.1099999999997</v>
      </c>
      <c r="LM24" s="13">
        <f t="shared" si="40"/>
        <v>0</v>
      </c>
      <c r="LN24" s="20">
        <f t="shared" si="157"/>
        <v>-5.8166074091065445E-2</v>
      </c>
      <c r="LO24" s="15">
        <v>10644.97</v>
      </c>
      <c r="LP24" s="4">
        <v>0</v>
      </c>
      <c r="LQ24" s="13">
        <v>10120.58</v>
      </c>
      <c r="LR24" s="13">
        <f t="shared" si="41"/>
        <v>0</v>
      </c>
      <c r="LS24" s="20">
        <f t="shared" si="158"/>
        <v>-4.9261764006850117E-2</v>
      </c>
      <c r="LU24" s="3" t="s">
        <v>12</v>
      </c>
      <c r="LV24" s="13">
        <v>42141.01</v>
      </c>
      <c r="LW24" s="4">
        <v>0</v>
      </c>
      <c r="LX24" s="13">
        <v>40540.99</v>
      </c>
      <c r="LY24" s="13">
        <f t="shared" si="42"/>
        <v>0</v>
      </c>
      <c r="LZ24" s="12">
        <f t="shared" si="159"/>
        <v>-3.7968240438470802E-2</v>
      </c>
      <c r="MA24" s="13">
        <v>22469.56</v>
      </c>
      <c r="MB24" s="4">
        <v>0</v>
      </c>
      <c r="MC24" s="13">
        <v>20223.45</v>
      </c>
      <c r="MD24" s="13">
        <f t="shared" si="43"/>
        <v>0</v>
      </c>
      <c r="ME24" s="12">
        <f t="shared" si="160"/>
        <v>-9.9962349062464928E-2</v>
      </c>
      <c r="MF24" s="13">
        <v>27439.93</v>
      </c>
      <c r="MG24" s="4">
        <v>0</v>
      </c>
      <c r="MH24" s="13">
        <v>26882.84</v>
      </c>
      <c r="MI24" s="13">
        <f t="shared" si="44"/>
        <v>0</v>
      </c>
      <c r="MJ24" s="12">
        <f t="shared" si="161"/>
        <v>-2.0302165493862434E-2</v>
      </c>
      <c r="MK24" s="15">
        <v>22589.72</v>
      </c>
      <c r="ML24" s="4">
        <v>0</v>
      </c>
      <c r="MM24" s="13">
        <v>21533.52</v>
      </c>
      <c r="MN24" s="13">
        <f t="shared" si="45"/>
        <v>0</v>
      </c>
      <c r="MO24" s="12">
        <f t="shared" si="162"/>
        <v>-4.675578094814814E-2</v>
      </c>
      <c r="MP24" s="13">
        <v>21733.41</v>
      </c>
      <c r="MQ24" s="4">
        <v>0</v>
      </c>
      <c r="MR24" s="13">
        <v>20908.22</v>
      </c>
      <c r="MS24" s="13">
        <f t="shared" si="46"/>
        <v>0</v>
      </c>
      <c r="MT24" s="12">
        <f t="shared" si="163"/>
        <v>-3.7968731091899466E-2</v>
      </c>
      <c r="MU24" s="13">
        <v>19862.43</v>
      </c>
      <c r="MV24" s="4">
        <v>0</v>
      </c>
      <c r="MW24" s="13">
        <v>19864.080000000002</v>
      </c>
      <c r="MX24" s="13">
        <f t="shared" si="47"/>
        <v>0</v>
      </c>
      <c r="MY24" s="12">
        <f t="shared" si="164"/>
        <v>8.3071406670853776E-5</v>
      </c>
      <c r="MZ24" s="13">
        <v>19862.43</v>
      </c>
      <c r="NA24" s="4">
        <v>0</v>
      </c>
      <c r="NB24" s="13">
        <v>17876.919999999998</v>
      </c>
      <c r="NC24" s="13">
        <f t="shared" si="48"/>
        <v>0</v>
      </c>
      <c r="ND24" s="12">
        <f t="shared" si="165"/>
        <v>-9.9963096156915454E-2</v>
      </c>
      <c r="NE24" s="13">
        <v>19862.43</v>
      </c>
      <c r="NF24" s="4">
        <v>0</v>
      </c>
      <c r="NG24" s="13">
        <v>18933.7</v>
      </c>
      <c r="NH24" s="13">
        <f t="shared" si="49"/>
        <v>0</v>
      </c>
      <c r="NI24" s="12">
        <f t="shared" si="166"/>
        <v>-4.6758125768095793E-2</v>
      </c>
      <c r="NJ24" s="13">
        <v>22851.98</v>
      </c>
      <c r="NK24" s="4">
        <v>0</v>
      </c>
      <c r="NL24" s="13">
        <v>21379.81</v>
      </c>
      <c r="NM24" s="13">
        <f t="shared" si="50"/>
        <v>0</v>
      </c>
      <c r="NN24" s="12">
        <f t="shared" si="167"/>
        <v>-6.4421988816723896E-2</v>
      </c>
      <c r="NO24" s="13">
        <v>18747.55</v>
      </c>
      <c r="NP24" s="4">
        <v>0</v>
      </c>
      <c r="NQ24" s="13">
        <v>17870.98</v>
      </c>
      <c r="NR24" s="13">
        <f t="shared" si="51"/>
        <v>0</v>
      </c>
      <c r="NS24" s="12">
        <f t="shared" si="168"/>
        <v>-4.6756509517243527E-2</v>
      </c>
      <c r="NT24" s="13">
        <v>21290.67</v>
      </c>
      <c r="NU24" s="4">
        <v>0</v>
      </c>
      <c r="NV24" s="13">
        <v>20295.2</v>
      </c>
      <c r="NW24" s="13">
        <f t="shared" si="52"/>
        <v>0</v>
      </c>
      <c r="NX24" s="12">
        <f t="shared" si="169"/>
        <v>-4.6756161266883423E-2</v>
      </c>
      <c r="NY24" s="13">
        <v>16671.22</v>
      </c>
      <c r="NZ24" s="4">
        <v>0</v>
      </c>
      <c r="OA24" s="13">
        <v>15597.21</v>
      </c>
      <c r="OB24" s="13">
        <f t="shared" si="53"/>
        <v>0</v>
      </c>
      <c r="OC24" s="12">
        <f t="shared" si="170"/>
        <v>-6.4422999636499445E-2</v>
      </c>
      <c r="OD24" s="15">
        <v>30661.48</v>
      </c>
      <c r="OE24" s="4">
        <v>0</v>
      </c>
      <c r="OF24" s="13">
        <v>30039</v>
      </c>
      <c r="OG24" s="13">
        <f t="shared" si="54"/>
        <v>0</v>
      </c>
      <c r="OH24" s="12">
        <f t="shared" si="171"/>
        <v>-2.0301694503983447E-2</v>
      </c>
      <c r="OI24" s="15">
        <v>16434.900000000001</v>
      </c>
      <c r="OJ24" s="4">
        <v>0</v>
      </c>
      <c r="OK24" s="13">
        <v>15376.12</v>
      </c>
      <c r="OL24" s="13">
        <f t="shared" si="55"/>
        <v>0</v>
      </c>
      <c r="OM24" s="12">
        <f t="shared" si="172"/>
        <v>-6.4422661531253644E-2</v>
      </c>
      <c r="ON24" s="13">
        <v>20892.78</v>
      </c>
      <c r="OO24" s="4">
        <v>0</v>
      </c>
      <c r="OP24" s="13">
        <v>19546.810000000001</v>
      </c>
      <c r="OQ24" s="13">
        <f t="shared" si="56"/>
        <v>0</v>
      </c>
      <c r="OR24" s="12">
        <f t="shared" si="173"/>
        <v>-6.4422733595050463E-2</v>
      </c>
      <c r="OS24" s="13">
        <v>15490.84</v>
      </c>
      <c r="OT24" s="4">
        <v>0</v>
      </c>
      <c r="OU24" s="13">
        <v>14492.88</v>
      </c>
      <c r="OV24" s="13">
        <f t="shared" si="57"/>
        <v>0</v>
      </c>
      <c r="OW24" s="12">
        <f t="shared" si="174"/>
        <v>-6.4422587800274322E-2</v>
      </c>
      <c r="OX24" s="13">
        <v>15679.2</v>
      </c>
      <c r="OY24" s="4">
        <v>0</v>
      </c>
      <c r="OZ24" s="13">
        <v>14111.88</v>
      </c>
      <c r="PA24" s="13">
        <f t="shared" si="58"/>
        <v>0</v>
      </c>
      <c r="PB24" s="12">
        <f t="shared" si="175"/>
        <v>-9.9961732741466469E-2</v>
      </c>
      <c r="PC24" s="13">
        <v>15679.2</v>
      </c>
      <c r="PD24" s="4">
        <v>0</v>
      </c>
      <c r="PE24" s="13">
        <v>14946.1</v>
      </c>
      <c r="PF24" s="13">
        <f t="shared" si="59"/>
        <v>0</v>
      </c>
      <c r="PG24" s="12">
        <f t="shared" si="176"/>
        <v>-4.6756212051635271E-2</v>
      </c>
      <c r="PH24" s="13">
        <v>31592.35</v>
      </c>
      <c r="PI24" s="4">
        <v>0</v>
      </c>
      <c r="PJ24" s="13">
        <v>30392.86</v>
      </c>
      <c r="PK24" s="13">
        <f t="shared" si="60"/>
        <v>0</v>
      </c>
      <c r="PL24" s="12">
        <f t="shared" si="177"/>
        <v>-3.7967735860105267E-2</v>
      </c>
      <c r="PN24" s="3" t="s">
        <v>12</v>
      </c>
      <c r="PO24" s="15">
        <v>39539.65</v>
      </c>
      <c r="PP24" s="4"/>
      <c r="PQ24" s="13"/>
      <c r="PR24" s="13">
        <f t="shared" si="61"/>
        <v>0</v>
      </c>
      <c r="PS24" s="12">
        <f t="shared" si="178"/>
        <v>-1</v>
      </c>
      <c r="PT24" s="13">
        <v>21082.52</v>
      </c>
      <c r="PU24" s="4">
        <v>0</v>
      </c>
      <c r="PV24" s="13"/>
      <c r="PW24" s="13">
        <f t="shared" si="62"/>
        <v>0</v>
      </c>
      <c r="PX24" s="12">
        <f t="shared" si="179"/>
        <v>-1</v>
      </c>
      <c r="PY24" s="13">
        <v>25746.07</v>
      </c>
      <c r="PZ24" s="4">
        <v>0</v>
      </c>
      <c r="QA24" s="13"/>
      <c r="QB24" s="13">
        <f t="shared" si="63"/>
        <v>0</v>
      </c>
      <c r="QC24" s="12">
        <f t="shared" si="180"/>
        <v>-1</v>
      </c>
      <c r="QD24" s="15">
        <v>21195.26</v>
      </c>
      <c r="QE24" s="4"/>
      <c r="QF24" s="13"/>
      <c r="QG24" s="13">
        <f t="shared" si="64"/>
        <v>0</v>
      </c>
      <c r="QH24" s="12">
        <f t="shared" si="181"/>
        <v>-1</v>
      </c>
      <c r="QI24" s="15">
        <v>20391.810000000001</v>
      </c>
      <c r="QJ24" s="4"/>
      <c r="QK24" s="13"/>
      <c r="QL24" s="13">
        <f t="shared" si="65"/>
        <v>0</v>
      </c>
      <c r="QM24" s="12">
        <f t="shared" si="182"/>
        <v>-1</v>
      </c>
      <c r="QN24" s="15">
        <v>18636.32</v>
      </c>
      <c r="QO24" s="4"/>
      <c r="QP24" s="13"/>
      <c r="QQ24" s="13">
        <f t="shared" si="66"/>
        <v>0</v>
      </c>
      <c r="QR24" s="12">
        <f t="shared" si="183"/>
        <v>-1</v>
      </c>
      <c r="QS24" s="15">
        <v>21441.33</v>
      </c>
      <c r="QT24" s="4"/>
      <c r="QU24" s="13"/>
      <c r="QV24" s="13">
        <f t="shared" si="67"/>
        <v>0</v>
      </c>
      <c r="QW24" s="12">
        <f t="shared" si="184"/>
        <v>-1</v>
      </c>
      <c r="QX24" s="15">
        <v>17590.259999999998</v>
      </c>
      <c r="QY24" s="4"/>
      <c r="QZ24" s="13"/>
      <c r="RA24" s="13">
        <f t="shared" si="68"/>
        <v>0</v>
      </c>
      <c r="RB24" s="12">
        <f t="shared" si="185"/>
        <v>-1</v>
      </c>
      <c r="RC24" s="15">
        <v>19976.400000000001</v>
      </c>
      <c r="RD24" s="4"/>
      <c r="RE24" s="13"/>
      <c r="RF24" s="13">
        <f t="shared" si="69"/>
        <v>0</v>
      </c>
      <c r="RG24" s="12">
        <f t="shared" si="186"/>
        <v>-1</v>
      </c>
      <c r="RH24" s="15">
        <v>15642.11</v>
      </c>
      <c r="RI24" s="4"/>
      <c r="RJ24" s="13"/>
      <c r="RK24" s="13">
        <f t="shared" si="70"/>
        <v>0</v>
      </c>
      <c r="RL24" s="12">
        <f t="shared" si="187"/>
        <v>-1</v>
      </c>
      <c r="RM24" s="15">
        <v>28768.75</v>
      </c>
      <c r="RN24" s="4"/>
      <c r="RO24" s="13"/>
      <c r="RP24" s="13">
        <f t="shared" si="71"/>
        <v>0</v>
      </c>
      <c r="RQ24" s="12">
        <f t="shared" si="188"/>
        <v>-1</v>
      </c>
      <c r="RR24" s="15">
        <v>15420.37</v>
      </c>
      <c r="RS24" s="4"/>
      <c r="RT24" s="13"/>
      <c r="RU24" s="13">
        <f t="shared" si="72"/>
        <v>0</v>
      </c>
      <c r="RV24" s="12">
        <f t="shared" si="189"/>
        <v>-1</v>
      </c>
      <c r="RW24" s="15">
        <v>19603.07</v>
      </c>
      <c r="RX24" s="4"/>
      <c r="RY24" s="13"/>
      <c r="RZ24" s="13">
        <f t="shared" si="73"/>
        <v>0</v>
      </c>
      <c r="SA24" s="12">
        <f t="shared" si="190"/>
        <v>-1</v>
      </c>
      <c r="SB24" s="15">
        <v>14534.59</v>
      </c>
      <c r="SC24" s="4"/>
      <c r="SD24" s="13"/>
      <c r="SE24" s="13">
        <f t="shared" si="74"/>
        <v>0</v>
      </c>
      <c r="SF24" s="12">
        <f t="shared" si="191"/>
        <v>-1</v>
      </c>
      <c r="SG24" s="15">
        <v>14711.33</v>
      </c>
      <c r="SH24" s="4"/>
      <c r="SI24" s="13"/>
      <c r="SJ24" s="13">
        <f t="shared" si="75"/>
        <v>0</v>
      </c>
      <c r="SK24" s="12">
        <f t="shared" si="192"/>
        <v>-1</v>
      </c>
      <c r="SL24" s="15">
        <v>29642.16</v>
      </c>
      <c r="SM24" s="4"/>
      <c r="SN24" s="13"/>
      <c r="SO24" s="13">
        <f t="shared" si="76"/>
        <v>0</v>
      </c>
      <c r="SP24" s="12">
        <f t="shared" si="193"/>
        <v>-1</v>
      </c>
    </row>
    <row r="25" spans="1:510" x14ac:dyDescent="0.25">
      <c r="A25" s="3" t="s">
        <v>13</v>
      </c>
      <c r="B25" s="13">
        <v>30341.66</v>
      </c>
      <c r="C25" s="4">
        <v>0</v>
      </c>
      <c r="D25" s="13">
        <v>27307.4</v>
      </c>
      <c r="E25" s="13">
        <f t="shared" si="77"/>
        <v>0</v>
      </c>
      <c r="F25" s="20">
        <f t="shared" si="78"/>
        <v>-0.10000309805066687</v>
      </c>
      <c r="H25" s="3" t="s">
        <v>13</v>
      </c>
      <c r="I25" s="13">
        <v>9468.6200000000008</v>
      </c>
      <c r="J25" s="4">
        <v>0</v>
      </c>
      <c r="K25" s="13">
        <v>8522.11</v>
      </c>
      <c r="L25" s="13">
        <f t="shared" si="0"/>
        <v>0</v>
      </c>
      <c r="M25" s="20">
        <f t="shared" si="79"/>
        <v>-9.9962824572112918E-2</v>
      </c>
      <c r="O25" s="3" t="s">
        <v>13</v>
      </c>
      <c r="P25" s="13">
        <v>28169.64</v>
      </c>
      <c r="Q25" s="4">
        <v>0</v>
      </c>
      <c r="R25" s="13">
        <v>25352.59</v>
      </c>
      <c r="S25" s="13">
        <f t="shared" si="1"/>
        <v>0</v>
      </c>
      <c r="T25" s="20">
        <f t="shared" si="80"/>
        <v>-0.10000305293216383</v>
      </c>
      <c r="V25" s="3" t="s">
        <v>13</v>
      </c>
      <c r="W25" s="15">
        <v>30936.400000000001</v>
      </c>
      <c r="X25" s="4">
        <v>0</v>
      </c>
      <c r="Y25" s="13">
        <v>29092.05</v>
      </c>
      <c r="Z25" s="13">
        <f t="shared" si="2"/>
        <v>0</v>
      </c>
      <c r="AA25" s="12">
        <f t="shared" si="81"/>
        <v>-5.9617473267736476E-2</v>
      </c>
      <c r="AB25" s="15">
        <v>26827.599999999999</v>
      </c>
      <c r="AC25" s="4">
        <v>0</v>
      </c>
      <c r="AD25" s="13">
        <v>25460.78</v>
      </c>
      <c r="AE25" s="13">
        <f t="shared" si="3"/>
        <v>0</v>
      </c>
      <c r="AF25" s="12">
        <f t="shared" si="82"/>
        <v>-5.0948277147415344E-2</v>
      </c>
      <c r="AG25" s="33">
        <v>25038.27</v>
      </c>
      <c r="AH25" s="4">
        <v>0</v>
      </c>
      <c r="AI25" s="13">
        <v>23786.89</v>
      </c>
      <c r="AJ25" s="13">
        <f t="shared" si="4"/>
        <v>0</v>
      </c>
      <c r="AK25" s="12">
        <f t="shared" si="83"/>
        <v>-4.9978692617341447E-2</v>
      </c>
      <c r="AL25" s="15">
        <v>22505.67</v>
      </c>
      <c r="AM25" s="4">
        <v>0</v>
      </c>
      <c r="AN25" s="13">
        <v>20771.72</v>
      </c>
      <c r="AO25" s="13">
        <f t="shared" si="5"/>
        <v>0</v>
      </c>
      <c r="AP25" s="12">
        <f t="shared" si="84"/>
        <v>-7.7045029097111861E-2</v>
      </c>
      <c r="AQ25" s="15">
        <v>22213.69</v>
      </c>
      <c r="AR25" s="4">
        <v>0</v>
      </c>
      <c r="AS25" s="13">
        <v>20502.25</v>
      </c>
      <c r="AT25" s="13">
        <f t="shared" si="6"/>
        <v>0</v>
      </c>
      <c r="AU25" s="12">
        <f t="shared" si="85"/>
        <v>-7.7044381190157885E-2</v>
      </c>
      <c r="AV25" s="33">
        <v>20688.34</v>
      </c>
      <c r="AW25" s="4">
        <v>0</v>
      </c>
      <c r="AX25" s="13">
        <v>19290.150000000001</v>
      </c>
      <c r="AY25" s="13">
        <f t="shared" si="7"/>
        <v>0</v>
      </c>
      <c r="AZ25" s="12">
        <f t="shared" si="86"/>
        <v>-6.7583479389839773E-2</v>
      </c>
      <c r="BB25" s="3" t="s">
        <v>13</v>
      </c>
      <c r="BC25" s="15">
        <v>9468.6200000000008</v>
      </c>
      <c r="BD25" s="4">
        <v>0</v>
      </c>
      <c r="BE25" s="13">
        <v>8995.6299999999992</v>
      </c>
      <c r="BF25" s="13">
        <f t="shared" si="8"/>
        <v>0</v>
      </c>
      <c r="BG25" s="12">
        <f t="shared" si="87"/>
        <v>-4.9953425103130278E-2</v>
      </c>
      <c r="BH25" s="15">
        <v>8462.66</v>
      </c>
      <c r="BI25" s="4">
        <v>0</v>
      </c>
      <c r="BJ25" s="13">
        <v>8191.21</v>
      </c>
      <c r="BK25" s="13">
        <f t="shared" si="9"/>
        <v>0</v>
      </c>
      <c r="BL25" s="12">
        <f t="shared" si="88"/>
        <v>-3.207620299054903E-2</v>
      </c>
      <c r="BM25" s="13">
        <v>7917.68</v>
      </c>
      <c r="BN25" s="4">
        <v>0</v>
      </c>
      <c r="BO25" s="13">
        <v>7522.16</v>
      </c>
      <c r="BP25" s="13">
        <f t="shared" si="10"/>
        <v>0</v>
      </c>
      <c r="BQ25" s="12">
        <f t="shared" si="89"/>
        <v>-4.9954026937183649E-2</v>
      </c>
      <c r="BR25" s="13">
        <v>7042.38</v>
      </c>
      <c r="BS25" s="4">
        <v>0</v>
      </c>
      <c r="BT25" s="13">
        <v>6690.58</v>
      </c>
      <c r="BU25" s="13">
        <f t="shared" si="11"/>
        <v>0</v>
      </c>
      <c r="BV25" s="12">
        <f t="shared" si="90"/>
        <v>-4.9954702813537533E-2</v>
      </c>
      <c r="BW25" s="15">
        <v>7010.13</v>
      </c>
      <c r="BX25" s="4">
        <v>0</v>
      </c>
      <c r="BY25" s="13">
        <v>6659.94</v>
      </c>
      <c r="BZ25" s="13">
        <f t="shared" si="12"/>
        <v>0</v>
      </c>
      <c r="CA25" s="12">
        <f t="shared" si="91"/>
        <v>-4.9954851051264404E-2</v>
      </c>
      <c r="CB25" s="15">
        <v>6608.04</v>
      </c>
      <c r="CC25" s="4">
        <v>0</v>
      </c>
      <c r="CD25" s="13">
        <v>6277.94</v>
      </c>
      <c r="CE25" s="13">
        <f t="shared" si="13"/>
        <v>0</v>
      </c>
      <c r="CF25" s="12">
        <f t="shared" si="92"/>
        <v>-4.9954298097469207E-2</v>
      </c>
      <c r="CH25" s="3" t="s">
        <v>13</v>
      </c>
      <c r="CI25" s="13">
        <v>28500.94</v>
      </c>
      <c r="CJ25" s="4">
        <v>0</v>
      </c>
      <c r="CK25" s="13">
        <v>27195.81</v>
      </c>
      <c r="CL25" s="13">
        <f t="shared" si="14"/>
        <v>0</v>
      </c>
      <c r="CM25" s="12">
        <f t="shared" si="93"/>
        <v>-4.5792524737780504E-2</v>
      </c>
      <c r="CN25" s="15">
        <v>25059.96</v>
      </c>
      <c r="CO25" s="4">
        <v>0</v>
      </c>
      <c r="CP25" s="13">
        <v>23912.37</v>
      </c>
      <c r="CQ25" s="13">
        <f t="shared" si="15"/>
        <v>0</v>
      </c>
      <c r="CR25" s="12">
        <f t="shared" si="94"/>
        <v>-4.5793768226286113E-2</v>
      </c>
      <c r="CS25" s="13">
        <v>23653.35</v>
      </c>
      <c r="CT25" s="4">
        <v>0</v>
      </c>
      <c r="CU25" s="13">
        <v>22570.2</v>
      </c>
      <c r="CV25" s="13">
        <f t="shared" si="16"/>
        <v>0</v>
      </c>
      <c r="CW25" s="12">
        <f t="shared" si="95"/>
        <v>-4.5792667846203505E-2</v>
      </c>
      <c r="CX25" s="13">
        <v>21033.7</v>
      </c>
      <c r="CY25" s="4">
        <v>0</v>
      </c>
      <c r="CZ25" s="13">
        <v>19698.54</v>
      </c>
      <c r="DA25" s="13">
        <f t="shared" si="17"/>
        <v>0</v>
      </c>
      <c r="DB25" s="12">
        <f t="shared" si="96"/>
        <v>-6.3477181855783771E-2</v>
      </c>
      <c r="DC25" s="15">
        <v>20735.53</v>
      </c>
      <c r="DD25" s="4">
        <v>0</v>
      </c>
      <c r="DE25" s="13">
        <v>19419.310000000001</v>
      </c>
      <c r="DF25" s="13">
        <f t="shared" si="18"/>
        <v>0</v>
      </c>
      <c r="DG25" s="12">
        <f t="shared" si="97"/>
        <v>-6.3476554493663628E-2</v>
      </c>
      <c r="DH25" s="13">
        <v>19544.43</v>
      </c>
      <c r="DI25" s="4">
        <v>0</v>
      </c>
      <c r="DJ25" s="13">
        <v>18303.82</v>
      </c>
      <c r="DK25" s="13">
        <f t="shared" si="19"/>
        <v>0</v>
      </c>
      <c r="DL25" s="12">
        <f t="shared" si="98"/>
        <v>-6.3476397111606797E-2</v>
      </c>
      <c r="DN25" s="3" t="s">
        <v>13</v>
      </c>
      <c r="DO25" s="13">
        <v>52491.89</v>
      </c>
      <c r="DP25" s="4">
        <v>0</v>
      </c>
      <c r="DQ25" s="13">
        <v>52498.080000000002</v>
      </c>
      <c r="DR25" s="13">
        <f t="shared" si="20"/>
        <v>0</v>
      </c>
      <c r="DS25" s="20">
        <f t="shared" si="99"/>
        <v>1.1792297819734898E-4</v>
      </c>
      <c r="DU25" s="3" t="s">
        <v>13</v>
      </c>
      <c r="DV25" s="13">
        <v>41828.36</v>
      </c>
      <c r="DW25" s="4">
        <v>0</v>
      </c>
      <c r="DX25" s="13">
        <v>41833.31</v>
      </c>
      <c r="DY25" s="13">
        <f t="shared" si="21"/>
        <v>0</v>
      </c>
      <c r="DZ25" s="20">
        <f t="shared" si="100"/>
        <v>1.1834076210481825E-4</v>
      </c>
      <c r="EB25" s="3" t="s">
        <v>13</v>
      </c>
      <c r="EC25" s="13">
        <v>41828.36</v>
      </c>
      <c r="ED25" s="4">
        <v>0</v>
      </c>
      <c r="EE25" s="13">
        <v>41833.31</v>
      </c>
      <c r="EF25" s="13">
        <f t="shared" si="22"/>
        <v>0</v>
      </c>
      <c r="EG25" s="20">
        <f t="shared" si="101"/>
        <v>1.1834076210481825E-4</v>
      </c>
      <c r="EI25" s="3" t="s">
        <v>13</v>
      </c>
      <c r="EJ25" s="13">
        <v>51164.68</v>
      </c>
      <c r="EK25" s="4">
        <v>0</v>
      </c>
      <c r="EL25" s="13">
        <v>49182.91</v>
      </c>
      <c r="EM25" s="13">
        <f t="shared" si="102"/>
        <v>0</v>
      </c>
      <c r="EN25" s="20">
        <f t="shared" si="103"/>
        <v>-3.8733165144392512E-2</v>
      </c>
      <c r="EO25" s="13">
        <v>26324.52</v>
      </c>
      <c r="EP25" s="4">
        <v>0</v>
      </c>
      <c r="EQ25" s="13">
        <v>23692.080000000002</v>
      </c>
      <c r="ER25" s="13">
        <f t="shared" si="104"/>
        <v>0</v>
      </c>
      <c r="ES25" s="20">
        <f t="shared" si="105"/>
        <v>-9.9999544151232356E-2</v>
      </c>
      <c r="ET25" s="13">
        <v>34377.24</v>
      </c>
      <c r="EU25" s="4">
        <v>0</v>
      </c>
      <c r="EV25" s="13">
        <v>33946.17</v>
      </c>
      <c r="EW25" s="13">
        <f t="shared" si="106"/>
        <v>0</v>
      </c>
      <c r="EX25" s="20">
        <f t="shared" si="107"/>
        <v>-1.2539401068846656E-2</v>
      </c>
      <c r="EY25" s="15">
        <v>26830.92</v>
      </c>
      <c r="EZ25" s="4">
        <v>0</v>
      </c>
      <c r="FA25" s="13">
        <v>25324.7</v>
      </c>
      <c r="FB25" s="13">
        <f t="shared" si="108"/>
        <v>0</v>
      </c>
      <c r="FC25" s="20">
        <f t="shared" si="109"/>
        <v>-5.6137471245860993E-2</v>
      </c>
      <c r="FD25" s="15">
        <v>24246.6</v>
      </c>
      <c r="FE25" s="4">
        <v>0</v>
      </c>
      <c r="FF25" s="13">
        <v>23096.45</v>
      </c>
      <c r="FG25" s="13">
        <f t="shared" si="110"/>
        <v>0</v>
      </c>
      <c r="FH25" s="20">
        <f t="shared" si="111"/>
        <v>-4.7435516732242777E-2</v>
      </c>
      <c r="FI25" s="13">
        <v>23267.39</v>
      </c>
      <c r="FJ25" s="4">
        <v>0</v>
      </c>
      <c r="FK25" s="13">
        <v>23268.27</v>
      </c>
      <c r="FL25" s="13">
        <f t="shared" si="112"/>
        <v>0</v>
      </c>
      <c r="FM25" s="20">
        <f t="shared" si="113"/>
        <v>3.78211737543932E-5</v>
      </c>
      <c r="FN25" s="13">
        <v>23267.39</v>
      </c>
      <c r="FO25" s="4">
        <v>0</v>
      </c>
      <c r="FP25" s="13">
        <v>20942.64</v>
      </c>
      <c r="FQ25" s="13">
        <f t="shared" si="114"/>
        <v>0</v>
      </c>
      <c r="FR25" s="20">
        <f t="shared" si="115"/>
        <v>-9.9914515551593919E-2</v>
      </c>
      <c r="FS25" s="13">
        <v>23267.39</v>
      </c>
      <c r="FT25" s="4">
        <v>0</v>
      </c>
      <c r="FU25" s="13">
        <v>22163.67</v>
      </c>
      <c r="FV25" s="13">
        <f t="shared" si="116"/>
        <v>0</v>
      </c>
      <c r="FW25" s="20">
        <f t="shared" si="117"/>
        <v>-4.743634760925064E-2</v>
      </c>
      <c r="FX25" s="15">
        <v>26594.91</v>
      </c>
      <c r="FY25" s="4">
        <v>0</v>
      </c>
      <c r="FZ25" s="13">
        <v>24636.74</v>
      </c>
      <c r="GA25" s="13">
        <f t="shared" si="118"/>
        <v>0</v>
      </c>
      <c r="GB25" s="20">
        <f t="shared" si="119"/>
        <v>-7.3629502788315482E-2</v>
      </c>
      <c r="GC25" s="13">
        <v>21938.11</v>
      </c>
      <c r="GD25" s="4">
        <v>0</v>
      </c>
      <c r="GE25" s="13">
        <v>20706.54</v>
      </c>
      <c r="GF25" s="13">
        <f t="shared" si="120"/>
        <v>0</v>
      </c>
      <c r="GG25" s="20">
        <f t="shared" si="121"/>
        <v>-5.6138382021058364E-2</v>
      </c>
      <c r="GH25" s="15">
        <v>24784.04</v>
      </c>
      <c r="GI25" s="4">
        <v>0</v>
      </c>
      <c r="GJ25" s="13">
        <v>23392.73</v>
      </c>
      <c r="GK25" s="13">
        <f t="shared" si="122"/>
        <v>0</v>
      </c>
      <c r="GL25" s="20">
        <f t="shared" si="123"/>
        <v>-5.6137336769953583E-2</v>
      </c>
      <c r="GM25" s="15">
        <v>19519.02</v>
      </c>
      <c r="GN25" s="4">
        <v>0</v>
      </c>
      <c r="GO25" s="13">
        <v>18081.84</v>
      </c>
      <c r="GP25" s="13">
        <f t="shared" si="124"/>
        <v>0</v>
      </c>
      <c r="GQ25" s="20">
        <f t="shared" si="125"/>
        <v>-7.3629721164279793E-2</v>
      </c>
      <c r="GR25" s="13">
        <v>42430.79</v>
      </c>
      <c r="GS25" s="4">
        <v>0</v>
      </c>
      <c r="GT25" s="13">
        <v>41160.25</v>
      </c>
      <c r="GU25" s="13">
        <f t="shared" si="126"/>
        <v>0</v>
      </c>
      <c r="GV25" s="20">
        <f t="shared" si="127"/>
        <v>-2.9943821456069997E-2</v>
      </c>
      <c r="GW25" s="15">
        <v>19265.78</v>
      </c>
      <c r="GX25" s="4">
        <v>0</v>
      </c>
      <c r="GY25" s="13">
        <v>17847.27</v>
      </c>
      <c r="GZ25" s="13">
        <f t="shared" si="128"/>
        <v>0</v>
      </c>
      <c r="HA25" s="20">
        <f t="shared" si="129"/>
        <v>-7.3628474943656541E-2</v>
      </c>
      <c r="HB25" s="15">
        <v>25574.54</v>
      </c>
      <c r="HC25" s="4">
        <v>0</v>
      </c>
      <c r="HD25" s="13">
        <v>23691.51</v>
      </c>
      <c r="HE25" s="13">
        <f t="shared" si="130"/>
        <v>0</v>
      </c>
      <c r="HF25" s="20">
        <f t="shared" si="131"/>
        <v>-7.3629085801738881E-2</v>
      </c>
      <c r="HG25" s="15">
        <v>18126.78</v>
      </c>
      <c r="HH25" s="4">
        <v>0</v>
      </c>
      <c r="HI25" s="13">
        <v>16792.12</v>
      </c>
      <c r="HJ25" s="13">
        <f t="shared" si="132"/>
        <v>0</v>
      </c>
      <c r="HK25" s="20">
        <f t="shared" si="133"/>
        <v>-7.3629182899555223E-2</v>
      </c>
      <c r="HL25" s="13">
        <v>18337.05</v>
      </c>
      <c r="HM25" s="4">
        <v>0</v>
      </c>
      <c r="HN25" s="13">
        <v>16504.099999999999</v>
      </c>
      <c r="HO25" s="13">
        <f t="shared" si="134"/>
        <v>0</v>
      </c>
      <c r="HP25" s="20">
        <f t="shared" si="135"/>
        <v>-9.9958826528803724E-2</v>
      </c>
      <c r="HQ25" s="13">
        <v>18337.05</v>
      </c>
      <c r="HR25" s="4">
        <v>0</v>
      </c>
      <c r="HS25" s="13">
        <v>16986.89</v>
      </c>
      <c r="HT25" s="13">
        <f t="shared" si="136"/>
        <v>0</v>
      </c>
      <c r="HU25" s="20">
        <f t="shared" si="137"/>
        <v>-7.3630164066739168E-2</v>
      </c>
      <c r="HV25" s="13">
        <v>46096.55</v>
      </c>
      <c r="HW25" s="4">
        <v>0</v>
      </c>
      <c r="HX25" s="13">
        <v>45518.57</v>
      </c>
      <c r="HY25" s="13">
        <f t="shared" si="138"/>
        <v>0</v>
      </c>
      <c r="HZ25" s="20">
        <f t="shared" si="139"/>
        <v>-1.2538465459996484E-2</v>
      </c>
      <c r="IB25" s="3" t="s">
        <v>13</v>
      </c>
      <c r="IC25" s="15">
        <v>15480.29</v>
      </c>
      <c r="ID25" s="4">
        <v>0</v>
      </c>
      <c r="IE25" s="13">
        <v>14854.22</v>
      </c>
      <c r="IF25" s="13">
        <f t="shared" si="23"/>
        <v>0</v>
      </c>
      <c r="IG25" s="20">
        <f t="shared" si="140"/>
        <v>-4.0443040795747454E-2</v>
      </c>
      <c r="IH25" s="13">
        <v>8190.56</v>
      </c>
      <c r="II25" s="4">
        <v>0</v>
      </c>
      <c r="IJ25" s="13">
        <v>7371.46</v>
      </c>
      <c r="IK25" s="13">
        <f t="shared" si="24"/>
        <v>0</v>
      </c>
      <c r="IL25" s="20">
        <f t="shared" si="141"/>
        <v>-0.1000053720380536</v>
      </c>
      <c r="IM25" s="13">
        <v>9850.5499999999993</v>
      </c>
      <c r="IN25" s="4">
        <v>0</v>
      </c>
      <c r="IO25" s="13">
        <v>9714.48</v>
      </c>
      <c r="IP25" s="13">
        <f t="shared" si="25"/>
        <v>0</v>
      </c>
      <c r="IQ25" s="20">
        <f t="shared" si="142"/>
        <v>-1.3813441889031552E-2</v>
      </c>
      <c r="IR25" s="13">
        <v>8239.32</v>
      </c>
      <c r="IS25" s="4">
        <v>0</v>
      </c>
      <c r="IT25" s="13">
        <v>7760.07</v>
      </c>
      <c r="IU25" s="13">
        <f t="shared" si="26"/>
        <v>0</v>
      </c>
      <c r="IV25" s="20">
        <f t="shared" si="143"/>
        <v>-5.8166207890942512E-2</v>
      </c>
      <c r="IW25" s="15">
        <v>6902.27</v>
      </c>
      <c r="IX25" s="4">
        <v>0</v>
      </c>
      <c r="IY25" s="13">
        <v>6500.78</v>
      </c>
      <c r="IZ25" s="13">
        <f t="shared" si="27"/>
        <v>0</v>
      </c>
      <c r="JA25" s="20">
        <f t="shared" si="144"/>
        <v>-5.8167820151921124E-2</v>
      </c>
      <c r="JB25" s="13">
        <v>7363.96</v>
      </c>
      <c r="JC25" s="4">
        <v>0</v>
      </c>
      <c r="JD25" s="13">
        <v>7364.12</v>
      </c>
      <c r="JE25" s="13">
        <f t="shared" si="28"/>
        <v>0</v>
      </c>
      <c r="JF25" s="20">
        <f t="shared" si="145"/>
        <v>2.1727440127294884E-5</v>
      </c>
      <c r="JG25" s="13">
        <v>7363.96</v>
      </c>
      <c r="JH25" s="4">
        <v>0</v>
      </c>
      <c r="JI25" s="13">
        <v>6627.61</v>
      </c>
      <c r="JJ25" s="13">
        <f t="shared" si="29"/>
        <v>0</v>
      </c>
      <c r="JK25" s="20">
        <f t="shared" si="146"/>
        <v>-9.9993753360963389E-2</v>
      </c>
      <c r="JL25" s="13">
        <v>7363.96</v>
      </c>
      <c r="JM25" s="4">
        <v>0</v>
      </c>
      <c r="JN25" s="13">
        <v>7066.14</v>
      </c>
      <c r="JO25" s="13">
        <f t="shared" si="30"/>
        <v>0</v>
      </c>
      <c r="JP25" s="20">
        <f t="shared" si="147"/>
        <v>-4.0442913866995389E-2</v>
      </c>
      <c r="JQ25" s="15">
        <v>8485.2000000000007</v>
      </c>
      <c r="JR25" s="4">
        <v>0</v>
      </c>
      <c r="JS25" s="13">
        <v>7991.64</v>
      </c>
      <c r="JT25" s="13">
        <f t="shared" si="31"/>
        <v>0</v>
      </c>
      <c r="JU25" s="20">
        <f t="shared" si="148"/>
        <v>-5.8167161646160426E-2</v>
      </c>
      <c r="JV25" s="15">
        <v>6889.74</v>
      </c>
      <c r="JW25" s="4">
        <v>0</v>
      </c>
      <c r="JX25" s="13">
        <v>6488.99</v>
      </c>
      <c r="JY25" s="13">
        <f t="shared" si="32"/>
        <v>0</v>
      </c>
      <c r="JZ25" s="20">
        <f t="shared" si="149"/>
        <v>-5.8166200756487152E-2</v>
      </c>
      <c r="KA25" s="13">
        <v>7906.32</v>
      </c>
      <c r="KB25" s="4">
        <v>0</v>
      </c>
      <c r="KC25" s="13">
        <v>7516.85</v>
      </c>
      <c r="KD25" s="13">
        <f t="shared" si="33"/>
        <v>0</v>
      </c>
      <c r="KE25" s="20">
        <f t="shared" si="150"/>
        <v>-4.926059152677853E-2</v>
      </c>
      <c r="KF25" s="15">
        <v>6128.08</v>
      </c>
      <c r="KG25" s="4">
        <v>0</v>
      </c>
      <c r="KH25" s="13">
        <v>5771.63</v>
      </c>
      <c r="KI25" s="13">
        <f t="shared" si="34"/>
        <v>0</v>
      </c>
      <c r="KJ25" s="20">
        <f t="shared" si="151"/>
        <v>-5.8166668842443259E-2</v>
      </c>
      <c r="KK25" s="15">
        <v>10198.94</v>
      </c>
      <c r="KL25" s="4">
        <v>0</v>
      </c>
      <c r="KM25" s="13">
        <v>10058.07</v>
      </c>
      <c r="KN25" s="13">
        <f t="shared" si="35"/>
        <v>0</v>
      </c>
      <c r="KO25" s="20">
        <f t="shared" si="152"/>
        <v>-1.3812219701263118E-2</v>
      </c>
      <c r="KP25" s="15">
        <v>6100.01</v>
      </c>
      <c r="KQ25" s="4">
        <v>0</v>
      </c>
      <c r="KR25" s="13">
        <v>5745.19</v>
      </c>
      <c r="KS25" s="13">
        <f t="shared" si="36"/>
        <v>0</v>
      </c>
      <c r="KT25" s="20">
        <f t="shared" si="153"/>
        <v>-5.8167117758823439E-2</v>
      </c>
      <c r="KU25" s="13">
        <v>7769.96</v>
      </c>
      <c r="KV25" s="4">
        <v>0</v>
      </c>
      <c r="KW25" s="13">
        <v>7318.01</v>
      </c>
      <c r="KX25" s="13">
        <f t="shared" si="37"/>
        <v>0</v>
      </c>
      <c r="KY25" s="20">
        <f t="shared" si="154"/>
        <v>-5.8166322606551413E-2</v>
      </c>
      <c r="KZ25" s="15">
        <v>5750.13</v>
      </c>
      <c r="LA25" s="4">
        <v>0</v>
      </c>
      <c r="LB25" s="13">
        <v>5415.66</v>
      </c>
      <c r="LC25" s="13">
        <f t="shared" si="38"/>
        <v>0</v>
      </c>
      <c r="LD25" s="20">
        <f t="shared" si="155"/>
        <v>-5.8167380563569959E-2</v>
      </c>
      <c r="LE25" s="13">
        <v>5762.02</v>
      </c>
      <c r="LF25" s="4">
        <v>0</v>
      </c>
      <c r="LG25" s="13">
        <v>5186.5</v>
      </c>
      <c r="LH25" s="13">
        <f t="shared" si="39"/>
        <v>0</v>
      </c>
      <c r="LI25" s="20">
        <f t="shared" si="156"/>
        <v>-9.9881638730861866E-2</v>
      </c>
      <c r="LJ25" s="13">
        <v>5762.02</v>
      </c>
      <c r="LK25" s="4">
        <v>0</v>
      </c>
      <c r="LL25" s="13">
        <v>5426.87</v>
      </c>
      <c r="LM25" s="13">
        <f t="shared" si="40"/>
        <v>0</v>
      </c>
      <c r="LN25" s="20">
        <f t="shared" si="157"/>
        <v>-5.8165365618307541E-2</v>
      </c>
      <c r="LO25" s="15">
        <v>11724.69</v>
      </c>
      <c r="LP25" s="4">
        <v>0</v>
      </c>
      <c r="LQ25" s="13">
        <v>11147.12</v>
      </c>
      <c r="LR25" s="13">
        <f t="shared" si="41"/>
        <v>0</v>
      </c>
      <c r="LS25" s="20">
        <f t="shared" si="158"/>
        <v>-4.9261003915668566E-2</v>
      </c>
      <c r="LU25" s="3" t="s">
        <v>13</v>
      </c>
      <c r="LV25" s="13">
        <v>46415.4</v>
      </c>
      <c r="LW25" s="4">
        <v>0</v>
      </c>
      <c r="LX25" s="13">
        <v>44653.1</v>
      </c>
      <c r="LY25" s="13">
        <f t="shared" si="42"/>
        <v>0</v>
      </c>
      <c r="LZ25" s="12">
        <f t="shared" si="159"/>
        <v>-3.7968001999336476E-2</v>
      </c>
      <c r="MA25" s="13">
        <v>24748.67</v>
      </c>
      <c r="MB25" s="4">
        <v>0</v>
      </c>
      <c r="MC25" s="13">
        <v>22274.74</v>
      </c>
      <c r="MD25" s="13">
        <f t="shared" si="43"/>
        <v>0</v>
      </c>
      <c r="ME25" s="12">
        <f t="shared" si="160"/>
        <v>-9.9962139379610959E-2</v>
      </c>
      <c r="MF25" s="13">
        <v>30223.19</v>
      </c>
      <c r="MG25" s="4">
        <v>0</v>
      </c>
      <c r="MH25" s="13">
        <v>29609.599999999999</v>
      </c>
      <c r="MI25" s="13">
        <f t="shared" si="44"/>
        <v>0</v>
      </c>
      <c r="MJ25" s="12">
        <f t="shared" si="161"/>
        <v>-2.0301960183554457E-2</v>
      </c>
      <c r="MK25" s="15">
        <v>24881.02</v>
      </c>
      <c r="ML25" s="4">
        <v>0</v>
      </c>
      <c r="MM25" s="13">
        <v>23717.69</v>
      </c>
      <c r="MN25" s="13">
        <f t="shared" si="45"/>
        <v>0</v>
      </c>
      <c r="MO25" s="12">
        <f t="shared" si="162"/>
        <v>-4.6755719821775843E-2</v>
      </c>
      <c r="MP25" s="13">
        <v>23937.85</v>
      </c>
      <c r="MQ25" s="4">
        <v>0</v>
      </c>
      <c r="MR25" s="13">
        <v>23028.959999999999</v>
      </c>
      <c r="MS25" s="13">
        <f t="shared" si="46"/>
        <v>0</v>
      </c>
      <c r="MT25" s="12">
        <f t="shared" si="163"/>
        <v>-3.7968739882654479E-2</v>
      </c>
      <c r="MU25" s="13">
        <v>21877.09</v>
      </c>
      <c r="MV25" s="4">
        <v>0</v>
      </c>
      <c r="MW25" s="13">
        <v>21878.92</v>
      </c>
      <c r="MX25" s="13">
        <f t="shared" si="47"/>
        <v>0</v>
      </c>
      <c r="MY25" s="12">
        <f t="shared" si="164"/>
        <v>8.364915077829771E-5</v>
      </c>
      <c r="MZ25" s="13">
        <v>21877.09</v>
      </c>
      <c r="NA25" s="4">
        <v>0</v>
      </c>
      <c r="NB25" s="13">
        <v>19690.189999999999</v>
      </c>
      <c r="NC25" s="13">
        <f t="shared" si="48"/>
        <v>0</v>
      </c>
      <c r="ND25" s="12">
        <f t="shared" si="165"/>
        <v>-9.9963020675967518E-2</v>
      </c>
      <c r="NE25" s="13">
        <v>21877.09</v>
      </c>
      <c r="NF25" s="4">
        <v>0</v>
      </c>
      <c r="NG25" s="13">
        <v>20854.169999999998</v>
      </c>
      <c r="NH25" s="13">
        <f t="shared" si="49"/>
        <v>0</v>
      </c>
      <c r="NI25" s="12">
        <f t="shared" si="166"/>
        <v>-4.675758978913569E-2</v>
      </c>
      <c r="NJ25" s="13">
        <v>25169.89</v>
      </c>
      <c r="NK25" s="4">
        <v>0</v>
      </c>
      <c r="NL25" s="13">
        <v>23548.39</v>
      </c>
      <c r="NM25" s="13">
        <f t="shared" si="50"/>
        <v>0</v>
      </c>
      <c r="NN25" s="12">
        <f t="shared" si="167"/>
        <v>-6.442221241332402E-2</v>
      </c>
      <c r="NO25" s="13">
        <v>20649.14</v>
      </c>
      <c r="NP25" s="4">
        <v>0</v>
      </c>
      <c r="NQ25" s="13">
        <v>19683.650000000001</v>
      </c>
      <c r="NR25" s="13">
        <f t="shared" si="51"/>
        <v>0</v>
      </c>
      <c r="NS25" s="12">
        <f t="shared" si="168"/>
        <v>-4.6756910941569418E-2</v>
      </c>
      <c r="NT25" s="13">
        <v>23450.21</v>
      </c>
      <c r="NU25" s="4">
        <v>0</v>
      </c>
      <c r="NV25" s="13">
        <v>22353.77</v>
      </c>
      <c r="NW25" s="13">
        <f t="shared" si="52"/>
        <v>0</v>
      </c>
      <c r="NX25" s="12">
        <f t="shared" si="169"/>
        <v>-4.6756084487089788E-2</v>
      </c>
      <c r="NY25" s="13">
        <v>18362.2</v>
      </c>
      <c r="NZ25" s="4">
        <v>0</v>
      </c>
      <c r="OA25" s="13">
        <v>17179.25</v>
      </c>
      <c r="OB25" s="13">
        <f t="shared" si="53"/>
        <v>0</v>
      </c>
      <c r="OC25" s="12">
        <f t="shared" si="170"/>
        <v>-6.4423108342137714E-2</v>
      </c>
      <c r="OD25" s="15">
        <v>33771.5</v>
      </c>
      <c r="OE25" s="4">
        <v>0</v>
      </c>
      <c r="OF25" s="13">
        <v>33085.89</v>
      </c>
      <c r="OG25" s="13">
        <f t="shared" si="54"/>
        <v>0</v>
      </c>
      <c r="OH25" s="12">
        <f t="shared" si="171"/>
        <v>-2.0301437602712413E-2</v>
      </c>
      <c r="OI25" s="15">
        <v>18101.900000000001</v>
      </c>
      <c r="OJ25" s="4">
        <v>0</v>
      </c>
      <c r="OK25" s="13">
        <v>16935.72</v>
      </c>
      <c r="OL25" s="13">
        <f t="shared" si="55"/>
        <v>0</v>
      </c>
      <c r="OM25" s="12">
        <f t="shared" si="172"/>
        <v>-6.4423071611267368E-2</v>
      </c>
      <c r="ON25" s="13">
        <v>23011.95</v>
      </c>
      <c r="OO25" s="4">
        <v>0</v>
      </c>
      <c r="OP25" s="13">
        <v>21529.47</v>
      </c>
      <c r="OQ25" s="13">
        <f t="shared" si="56"/>
        <v>0</v>
      </c>
      <c r="OR25" s="12">
        <f t="shared" si="173"/>
        <v>-6.4422180649619021E-2</v>
      </c>
      <c r="OS25" s="13">
        <v>17062.080000000002</v>
      </c>
      <c r="OT25" s="4">
        <v>0</v>
      </c>
      <c r="OU25" s="13">
        <v>15962.91</v>
      </c>
      <c r="OV25" s="13">
        <f t="shared" si="57"/>
        <v>0</v>
      </c>
      <c r="OW25" s="12">
        <f t="shared" si="174"/>
        <v>-6.4421805547741018E-2</v>
      </c>
      <c r="OX25" s="13">
        <v>17269.57</v>
      </c>
      <c r="OY25" s="4">
        <v>0</v>
      </c>
      <c r="OZ25" s="13">
        <v>15543.27</v>
      </c>
      <c r="PA25" s="13">
        <f t="shared" si="58"/>
        <v>0</v>
      </c>
      <c r="PB25" s="12">
        <f t="shared" si="175"/>
        <v>-9.9961956203889257E-2</v>
      </c>
      <c r="PC25" s="13">
        <v>17269.57</v>
      </c>
      <c r="PD25" s="4">
        <v>0</v>
      </c>
      <c r="PE25" s="13">
        <v>16462.099999999999</v>
      </c>
      <c r="PF25" s="13">
        <f t="shared" si="59"/>
        <v>0</v>
      </c>
      <c r="PG25" s="12">
        <f t="shared" si="176"/>
        <v>-4.6756809810551192E-2</v>
      </c>
      <c r="PH25" s="13">
        <v>34796.79</v>
      </c>
      <c r="PI25" s="4">
        <v>0</v>
      </c>
      <c r="PJ25" s="13">
        <v>33475.64</v>
      </c>
      <c r="PK25" s="13">
        <f t="shared" si="60"/>
        <v>0</v>
      </c>
      <c r="PL25" s="12">
        <f t="shared" si="177"/>
        <v>-3.7967582641962094E-2</v>
      </c>
      <c r="PN25" s="3" t="s">
        <v>13</v>
      </c>
      <c r="PO25" s="15">
        <v>43550.19</v>
      </c>
      <c r="PP25" s="4"/>
      <c r="PQ25" s="13"/>
      <c r="PR25" s="13">
        <f t="shared" si="61"/>
        <v>0</v>
      </c>
      <c r="PS25" s="12">
        <f t="shared" si="178"/>
        <v>-1</v>
      </c>
      <c r="PT25" s="13">
        <v>23220.93</v>
      </c>
      <c r="PU25" s="4">
        <v>0</v>
      </c>
      <c r="PV25" s="13"/>
      <c r="PW25" s="13">
        <f t="shared" si="62"/>
        <v>0</v>
      </c>
      <c r="PX25" s="12">
        <f t="shared" si="179"/>
        <v>-1</v>
      </c>
      <c r="PY25" s="13">
        <v>28357.51</v>
      </c>
      <c r="PZ25" s="4">
        <v>0</v>
      </c>
      <c r="QA25" s="13"/>
      <c r="QB25" s="13">
        <f t="shared" si="63"/>
        <v>0</v>
      </c>
      <c r="QC25" s="12">
        <f t="shared" si="180"/>
        <v>-1</v>
      </c>
      <c r="QD25" s="15">
        <v>23345.119999999999</v>
      </c>
      <c r="QE25" s="4"/>
      <c r="QF25" s="13"/>
      <c r="QG25" s="13">
        <f t="shared" si="64"/>
        <v>0</v>
      </c>
      <c r="QH25" s="12">
        <f t="shared" si="181"/>
        <v>-1</v>
      </c>
      <c r="QI25" s="15">
        <v>22460.17</v>
      </c>
      <c r="QJ25" s="4"/>
      <c r="QK25" s="13"/>
      <c r="QL25" s="13">
        <f t="shared" si="65"/>
        <v>0</v>
      </c>
      <c r="QM25" s="12">
        <f t="shared" si="182"/>
        <v>-1</v>
      </c>
      <c r="QN25" s="15">
        <v>20526.62</v>
      </c>
      <c r="QO25" s="4"/>
      <c r="QP25" s="13"/>
      <c r="QQ25" s="13">
        <f t="shared" si="66"/>
        <v>0</v>
      </c>
      <c r="QR25" s="12">
        <f t="shared" si="183"/>
        <v>-1</v>
      </c>
      <c r="QS25" s="15">
        <v>23616.16</v>
      </c>
      <c r="QT25" s="4"/>
      <c r="QU25" s="13"/>
      <c r="QV25" s="13">
        <f t="shared" si="67"/>
        <v>0</v>
      </c>
      <c r="QW25" s="12">
        <f t="shared" si="184"/>
        <v>-1</v>
      </c>
      <c r="QX25" s="15">
        <v>19374.47</v>
      </c>
      <c r="QY25" s="4"/>
      <c r="QZ25" s="13"/>
      <c r="RA25" s="13">
        <f t="shared" si="68"/>
        <v>0</v>
      </c>
      <c r="RB25" s="12">
        <f t="shared" si="185"/>
        <v>-1</v>
      </c>
      <c r="RC25" s="15">
        <v>22002.63</v>
      </c>
      <c r="RD25" s="4"/>
      <c r="RE25" s="13"/>
      <c r="RF25" s="13">
        <f t="shared" si="69"/>
        <v>0</v>
      </c>
      <c r="RG25" s="12">
        <f t="shared" si="186"/>
        <v>-1</v>
      </c>
      <c r="RH25" s="15">
        <v>17228.71</v>
      </c>
      <c r="RI25" s="4"/>
      <c r="RJ25" s="13"/>
      <c r="RK25" s="13">
        <f t="shared" si="70"/>
        <v>0</v>
      </c>
      <c r="RL25" s="12">
        <f t="shared" si="187"/>
        <v>-1</v>
      </c>
      <c r="RM25" s="15">
        <v>31686.79</v>
      </c>
      <c r="RN25" s="4"/>
      <c r="RO25" s="13"/>
      <c r="RP25" s="13">
        <f t="shared" si="71"/>
        <v>0</v>
      </c>
      <c r="RQ25" s="12">
        <f t="shared" si="188"/>
        <v>-1</v>
      </c>
      <c r="RR25" s="15">
        <v>16984.47</v>
      </c>
      <c r="RS25" s="4"/>
      <c r="RT25" s="13"/>
      <c r="RU25" s="13">
        <f t="shared" si="72"/>
        <v>0</v>
      </c>
      <c r="RV25" s="12">
        <f t="shared" si="189"/>
        <v>-1</v>
      </c>
      <c r="RW25" s="15">
        <v>21591.42</v>
      </c>
      <c r="RX25" s="4"/>
      <c r="RY25" s="13"/>
      <c r="RZ25" s="13">
        <f t="shared" si="73"/>
        <v>0</v>
      </c>
      <c r="SA25" s="12">
        <f t="shared" si="190"/>
        <v>-1</v>
      </c>
      <c r="SB25" s="15">
        <v>16008.84</v>
      </c>
      <c r="SC25" s="4"/>
      <c r="SD25" s="13"/>
      <c r="SE25" s="13">
        <f t="shared" si="74"/>
        <v>0</v>
      </c>
      <c r="SF25" s="12">
        <f t="shared" si="191"/>
        <v>-1</v>
      </c>
      <c r="SG25" s="15">
        <v>16203.52</v>
      </c>
      <c r="SH25" s="4"/>
      <c r="SI25" s="13"/>
      <c r="SJ25" s="13">
        <f t="shared" si="75"/>
        <v>0</v>
      </c>
      <c r="SK25" s="12">
        <f t="shared" si="192"/>
        <v>-1</v>
      </c>
      <c r="SL25" s="15">
        <v>32648.79</v>
      </c>
      <c r="SM25" s="4"/>
      <c r="SN25" s="13"/>
      <c r="SO25" s="13">
        <f t="shared" si="76"/>
        <v>0</v>
      </c>
      <c r="SP25" s="12">
        <f t="shared" si="193"/>
        <v>-1</v>
      </c>
    </row>
    <row r="26" spans="1:510" s="8" customFormat="1" x14ac:dyDescent="0.25">
      <c r="A26" s="6"/>
      <c r="B26" s="7"/>
      <c r="C26" s="5">
        <f>SUM(C12:C25)</f>
        <v>0</v>
      </c>
      <c r="D26" s="1"/>
      <c r="E26" s="14">
        <f>SUM(E12:E25)</f>
        <v>0</v>
      </c>
      <c r="F26" s="1"/>
      <c r="H26" s="6"/>
      <c r="I26" s="7"/>
      <c r="J26" s="5">
        <f>SUM(J12:J25)</f>
        <v>0</v>
      </c>
      <c r="K26" s="1"/>
      <c r="L26" s="14">
        <f>SUM(L12:L25)</f>
        <v>0</v>
      </c>
      <c r="M26" s="1"/>
      <c r="O26" s="6"/>
      <c r="P26" s="7"/>
      <c r="Q26" s="5">
        <f>SUM(Q12:Q25)</f>
        <v>19</v>
      </c>
      <c r="R26" s="1"/>
      <c r="S26" s="14">
        <f>SUM(S12:S25)</f>
        <v>74161.91</v>
      </c>
      <c r="T26" s="1"/>
      <c r="V26" s="6"/>
      <c r="W26" s="7"/>
      <c r="X26" s="5">
        <f>SUM(X12:X25)</f>
        <v>0</v>
      </c>
      <c r="Y26" s="1"/>
      <c r="Z26" s="14">
        <f>SUM(Z12:Z25)</f>
        <v>0</v>
      </c>
      <c r="AA26" s="1"/>
      <c r="AB26" s="7"/>
      <c r="AC26" s="5">
        <f>SUM(AC12:AC25)</f>
        <v>0</v>
      </c>
      <c r="AD26" s="1"/>
      <c r="AE26" s="14">
        <f>SUM(AE12:AE25)</f>
        <v>0</v>
      </c>
      <c r="AF26" s="1"/>
      <c r="AG26" s="7"/>
      <c r="AH26" s="5">
        <f>SUM(AH12:AH25)</f>
        <v>2</v>
      </c>
      <c r="AI26" s="1"/>
      <c r="AJ26" s="14">
        <f>SUM(AJ12:AJ25)</f>
        <v>8093.51</v>
      </c>
      <c r="AK26" s="1"/>
      <c r="AL26" s="7"/>
      <c r="AM26" s="5">
        <f>SUM(AM12:AM25)</f>
        <v>0</v>
      </c>
      <c r="AN26" s="1"/>
      <c r="AO26" s="14">
        <f>SUM(AO12:AO25)</f>
        <v>0</v>
      </c>
      <c r="AP26" s="1"/>
      <c r="AQ26" s="7"/>
      <c r="AR26" s="5">
        <f>SUM(AR12:AR25)</f>
        <v>0</v>
      </c>
      <c r="AS26" s="1"/>
      <c r="AT26" s="14">
        <f>SUM(AT12:AT25)</f>
        <v>0</v>
      </c>
      <c r="AU26" s="1"/>
      <c r="AV26" s="7"/>
      <c r="AW26" s="5">
        <f>SUM(AW12:AW25)</f>
        <v>0</v>
      </c>
      <c r="AX26" s="1"/>
      <c r="AY26" s="14">
        <f>SUM(AY12:AY25)</f>
        <v>0</v>
      </c>
      <c r="AZ26" s="1"/>
      <c r="BB26" s="6"/>
      <c r="BC26" s="7"/>
      <c r="BD26" s="5">
        <f>SUM(BD12:BD25)</f>
        <v>3</v>
      </c>
      <c r="BE26" s="1"/>
      <c r="BF26" s="14">
        <f>SUM(BF12:BF25)</f>
        <v>3516.09</v>
      </c>
      <c r="BG26" s="1"/>
      <c r="BH26" s="7"/>
      <c r="BI26" s="5">
        <f>SUM(BI12:BI25)</f>
        <v>0</v>
      </c>
      <c r="BJ26" s="1"/>
      <c r="BK26" s="14">
        <f>SUM(BK12:BK25)</f>
        <v>0</v>
      </c>
      <c r="BL26" s="1"/>
      <c r="BM26" s="7"/>
      <c r="BN26" s="5">
        <f>SUM(BN12:BN25)</f>
        <v>2</v>
      </c>
      <c r="BO26" s="1"/>
      <c r="BP26" s="14">
        <f>SUM(BP12:BP25)</f>
        <v>4204.5300000000007</v>
      </c>
      <c r="BQ26" s="1"/>
      <c r="BR26" s="7"/>
      <c r="BS26" s="5">
        <f>SUM(BS12:BS25)</f>
        <v>6</v>
      </c>
      <c r="BT26" s="1"/>
      <c r="BU26" s="14">
        <f>SUM(BU12:BU25)</f>
        <v>6550.38</v>
      </c>
      <c r="BV26" s="1"/>
      <c r="BW26" s="7"/>
      <c r="BX26" s="5">
        <f>SUM(BX12:BX25)</f>
        <v>0</v>
      </c>
      <c r="BY26" s="1"/>
      <c r="BZ26" s="14">
        <f>SUM(BZ12:BZ25)</f>
        <v>0</v>
      </c>
      <c r="CA26" s="1"/>
      <c r="CB26" s="7"/>
      <c r="CC26" s="5">
        <f>SUM(CC12:CC25)</f>
        <v>0</v>
      </c>
      <c r="CD26" s="1"/>
      <c r="CE26" s="14">
        <f>SUM(CE12:CE25)</f>
        <v>0</v>
      </c>
      <c r="CF26" s="1"/>
      <c r="CH26" s="6"/>
      <c r="CI26" s="7"/>
      <c r="CJ26" s="5">
        <f>SUM(CJ12:CJ25)</f>
        <v>11</v>
      </c>
      <c r="CK26" s="1"/>
      <c r="CL26" s="14">
        <f>SUM(CL12:CL25)</f>
        <v>41444.29</v>
      </c>
      <c r="CM26" s="1"/>
      <c r="CN26" s="7"/>
      <c r="CO26" s="5">
        <f>SUM(CO12:CO25)</f>
        <v>0</v>
      </c>
      <c r="CP26" s="1"/>
      <c r="CQ26" s="14">
        <f>SUM(CQ12:CQ25)</f>
        <v>0</v>
      </c>
      <c r="CR26" s="1"/>
      <c r="CS26" s="7"/>
      <c r="CT26" s="5">
        <f>SUM(CT12:CT25)</f>
        <v>19</v>
      </c>
      <c r="CU26" s="1"/>
      <c r="CV26" s="14">
        <f>SUM(CV12:CV25)</f>
        <v>66584.56</v>
      </c>
      <c r="CW26" s="1"/>
      <c r="CX26" s="7"/>
      <c r="CY26" s="5">
        <f>SUM(CY12:CY25)</f>
        <v>10</v>
      </c>
      <c r="CZ26" s="1"/>
      <c r="DA26" s="14">
        <f>SUM(DA12:DA25)</f>
        <v>26337.280000000006</v>
      </c>
      <c r="DB26" s="1"/>
      <c r="DC26" s="7"/>
      <c r="DD26" s="5">
        <f>SUM(DD12:DD25)</f>
        <v>1</v>
      </c>
      <c r="DE26" s="1"/>
      <c r="DF26" s="14">
        <f>SUM(DF12:DF25)</f>
        <v>2289.04</v>
      </c>
      <c r="DG26" s="1"/>
      <c r="DH26" s="7"/>
      <c r="DI26" s="5">
        <f>SUM(DI12:DI25)</f>
        <v>2</v>
      </c>
      <c r="DJ26" s="1"/>
      <c r="DK26" s="14">
        <f>SUM(DK12:DK25)</f>
        <v>4455.67</v>
      </c>
      <c r="DL26" s="1"/>
      <c r="DN26" s="6"/>
      <c r="DO26" s="7"/>
      <c r="DP26" s="5">
        <f>SUM(DP12:DP25)</f>
        <v>18</v>
      </c>
      <c r="DQ26" s="1"/>
      <c r="DR26" s="14">
        <f>SUM(DR12:DR25)</f>
        <v>143620.57</v>
      </c>
      <c r="DS26" s="1"/>
      <c r="DU26" s="6"/>
      <c r="DV26" s="7"/>
      <c r="DW26" s="5">
        <f>SUM(DW12:DW25)</f>
        <v>4</v>
      </c>
      <c r="DX26" s="1"/>
      <c r="DY26" s="14">
        <f>SUM(DY12:DY25)</f>
        <v>17371.27</v>
      </c>
      <c r="DZ26" s="1"/>
      <c r="EB26" s="6"/>
      <c r="EC26" s="7"/>
      <c r="ED26" s="5">
        <f>SUM(ED12:ED25)</f>
        <v>44</v>
      </c>
      <c r="EE26" s="1"/>
      <c r="EF26" s="14">
        <f>SUM(EF12:EF25)</f>
        <v>232924.43</v>
      </c>
      <c r="EG26" s="1"/>
      <c r="EI26" s="6"/>
      <c r="EJ26" s="7"/>
      <c r="EK26" s="5">
        <f>SUM(EK12:EK25)</f>
        <v>6</v>
      </c>
      <c r="EL26" s="1"/>
      <c r="EM26" s="14">
        <f>SUM(EM12:EM25)</f>
        <v>54827.45</v>
      </c>
      <c r="EN26" s="1"/>
      <c r="EO26" s="7"/>
      <c r="EP26" s="5">
        <f>SUM(EP12:EP25)</f>
        <v>0</v>
      </c>
      <c r="EQ26" s="1"/>
      <c r="ER26" s="14">
        <f>SUM(ER12:ER25)</f>
        <v>0</v>
      </c>
      <c r="ES26" s="1"/>
      <c r="ET26" s="7"/>
      <c r="EU26" s="5">
        <f>SUM(EU12:EU25)</f>
        <v>2</v>
      </c>
      <c r="EV26" s="1"/>
      <c r="EW26" s="14">
        <f>SUM(EW12:EW25)</f>
        <v>13177</v>
      </c>
      <c r="EX26" s="1"/>
      <c r="EY26" s="7"/>
      <c r="EZ26" s="5">
        <f>SUM(EZ12:EZ25)</f>
        <v>0</v>
      </c>
      <c r="FA26" s="1"/>
      <c r="FB26" s="14">
        <f>SUM(FB12:FB25)</f>
        <v>0</v>
      </c>
      <c r="FC26" s="1"/>
      <c r="FD26" s="7"/>
      <c r="FE26" s="5">
        <f>SUM(FE12:FE25)</f>
        <v>1</v>
      </c>
      <c r="FF26" s="1"/>
      <c r="FG26" s="14">
        <f>SUM(FG12:FG25)</f>
        <v>3652.33</v>
      </c>
      <c r="FH26" s="1"/>
      <c r="FI26" s="7"/>
      <c r="FJ26" s="5">
        <f>SUM(FJ12:FJ25)</f>
        <v>1</v>
      </c>
      <c r="FK26" s="1"/>
      <c r="FL26" s="14">
        <f>SUM(FL12:FL25)</f>
        <v>4321.34</v>
      </c>
      <c r="FM26" s="1"/>
      <c r="FN26" s="7"/>
      <c r="FO26" s="5">
        <f>SUM(FO12:FO25)</f>
        <v>0</v>
      </c>
      <c r="FP26" s="1"/>
      <c r="FQ26" s="14">
        <f>SUM(FQ12:FQ25)</f>
        <v>0</v>
      </c>
      <c r="FR26" s="1"/>
      <c r="FS26" s="7"/>
      <c r="FT26" s="5">
        <f>SUM(FT12:FT25)</f>
        <v>2</v>
      </c>
      <c r="FU26" s="1"/>
      <c r="FV26" s="14">
        <f>SUM(FV12:FV25)</f>
        <v>7009.64</v>
      </c>
      <c r="FW26" s="1"/>
      <c r="FX26" s="7"/>
      <c r="FY26" s="5">
        <f>SUM(FY12:FY25)</f>
        <v>0</v>
      </c>
      <c r="FZ26" s="1"/>
      <c r="GA26" s="14">
        <f>SUM(GA12:GA25)</f>
        <v>0</v>
      </c>
      <c r="GB26" s="1"/>
      <c r="GC26" s="7"/>
      <c r="GD26" s="5">
        <f>SUM(GD12:GD25)</f>
        <v>0</v>
      </c>
      <c r="GE26" s="1"/>
      <c r="GF26" s="14">
        <f>SUM(GF12:GF25)</f>
        <v>0</v>
      </c>
      <c r="GG26" s="1"/>
      <c r="GH26" s="7"/>
      <c r="GI26" s="5">
        <f>SUM(GI12:GI25)</f>
        <v>3</v>
      </c>
      <c r="GJ26" s="1"/>
      <c r="GK26" s="14">
        <f>SUM(GK12:GK25)</f>
        <v>10465.14</v>
      </c>
      <c r="GL26" s="1"/>
      <c r="GM26" s="7"/>
      <c r="GN26" s="5">
        <f>SUM(GN12:GN25)</f>
        <v>0</v>
      </c>
      <c r="GO26" s="1"/>
      <c r="GP26" s="14">
        <f>SUM(GP12:GP25)</f>
        <v>0</v>
      </c>
      <c r="GQ26" s="1"/>
      <c r="GR26" s="7"/>
      <c r="GS26" s="5">
        <f>SUM(GS12:GS25)</f>
        <v>0</v>
      </c>
      <c r="GT26" s="1"/>
      <c r="GU26" s="14">
        <f>SUM(GU12:GU25)</f>
        <v>0</v>
      </c>
      <c r="GV26" s="1"/>
      <c r="GW26" s="7"/>
      <c r="GX26" s="5">
        <f>SUM(GX12:GX25)</f>
        <v>0</v>
      </c>
      <c r="GY26" s="1"/>
      <c r="GZ26" s="14">
        <f>SUM(GZ12:GZ25)</f>
        <v>0</v>
      </c>
      <c r="HA26" s="1"/>
      <c r="HB26" s="7"/>
      <c r="HC26" s="5">
        <f>SUM(HC12:HC25)</f>
        <v>0</v>
      </c>
      <c r="HD26" s="1"/>
      <c r="HE26" s="14">
        <f>SUM(HE12:HE25)</f>
        <v>0</v>
      </c>
      <c r="HF26" s="1"/>
      <c r="HG26" s="7"/>
      <c r="HH26" s="5">
        <f>SUM(HH12:HH25)</f>
        <v>0</v>
      </c>
      <c r="HI26" s="1"/>
      <c r="HJ26" s="14">
        <f>SUM(HJ12:HJ25)</f>
        <v>0</v>
      </c>
      <c r="HK26" s="1"/>
      <c r="HL26" s="7"/>
      <c r="HM26" s="5">
        <f>SUM(HM12:HM25)</f>
        <v>5</v>
      </c>
      <c r="HN26" s="1"/>
      <c r="HO26" s="14">
        <f>SUM(HO12:HO25)</f>
        <v>10114.919999999998</v>
      </c>
      <c r="HP26" s="1"/>
      <c r="HQ26" s="7"/>
      <c r="HR26" s="5">
        <f>SUM(HR12:HR25)</f>
        <v>15</v>
      </c>
      <c r="HS26" s="1"/>
      <c r="HT26" s="14">
        <f>SUM(HT12:HT25)</f>
        <v>43120.25</v>
      </c>
      <c r="HU26" s="1"/>
      <c r="HV26" s="7"/>
      <c r="HW26" s="5">
        <f>SUM(HW12:HW25)</f>
        <v>0</v>
      </c>
      <c r="HX26" s="1"/>
      <c r="HY26" s="14">
        <f>SUM(HY12:HY25)</f>
        <v>0</v>
      </c>
      <c r="HZ26" s="1"/>
      <c r="IB26" s="6"/>
      <c r="IC26" s="7"/>
      <c r="ID26" s="5">
        <f>SUM(ID12:ID25)</f>
        <v>0</v>
      </c>
      <c r="IE26" s="1"/>
      <c r="IF26" s="14">
        <f>SUM(IF12:IF25)</f>
        <v>0</v>
      </c>
      <c r="IG26" s="1"/>
      <c r="IH26" s="7"/>
      <c r="II26" s="5">
        <f>SUM(II12:II25)</f>
        <v>0</v>
      </c>
      <c r="IJ26" s="1"/>
      <c r="IK26" s="14">
        <f>SUM(IK12:IK25)</f>
        <v>0</v>
      </c>
      <c r="IL26" s="1"/>
      <c r="IM26" s="7"/>
      <c r="IN26" s="5">
        <f>SUM(IN12:IN25)</f>
        <v>1</v>
      </c>
      <c r="IO26" s="1"/>
      <c r="IP26" s="14">
        <f>SUM(IP12:IP25)</f>
        <v>2526.89</v>
      </c>
      <c r="IQ26" s="1"/>
      <c r="IR26" s="7"/>
      <c r="IS26" s="5">
        <f>SUM(IS12:IS25)</f>
        <v>2</v>
      </c>
      <c r="IT26" s="1"/>
      <c r="IU26" s="14">
        <f>SUM(IU12:IU25)</f>
        <v>2010.19</v>
      </c>
      <c r="IV26" s="1"/>
      <c r="IW26" s="7"/>
      <c r="IX26" s="5">
        <f>SUM(IX12:IX25)</f>
        <v>0</v>
      </c>
      <c r="IY26" s="1"/>
      <c r="IZ26" s="14">
        <f>SUM(IZ12:IZ25)</f>
        <v>0</v>
      </c>
      <c r="JA26" s="1"/>
      <c r="JB26" s="7"/>
      <c r="JC26" s="5">
        <f>SUM(JC12:JC25)</f>
        <v>24</v>
      </c>
      <c r="JD26" s="1"/>
      <c r="JE26" s="14">
        <f>SUM(JE12:JE25)</f>
        <v>21000.370000000003</v>
      </c>
      <c r="JF26" s="1"/>
      <c r="JG26" s="7"/>
      <c r="JH26" s="5">
        <f>SUM(JH12:JH25)</f>
        <v>0</v>
      </c>
      <c r="JI26" s="1"/>
      <c r="JJ26" s="14">
        <f>SUM(JJ12:JJ25)</f>
        <v>0</v>
      </c>
      <c r="JK26" s="1"/>
      <c r="JL26" s="7"/>
      <c r="JM26" s="5">
        <f>SUM(JM12:JM25)</f>
        <v>2</v>
      </c>
      <c r="JN26" s="1"/>
      <c r="JO26" s="14">
        <f>SUM(JO12:JO25)</f>
        <v>3061.9900000000002</v>
      </c>
      <c r="JP26" s="1"/>
      <c r="JQ26" s="7"/>
      <c r="JR26" s="5">
        <f>SUM(JR12:JR25)</f>
        <v>1</v>
      </c>
      <c r="JS26" s="1"/>
      <c r="JT26" s="14">
        <f>SUM(JT12:JT25)</f>
        <v>1128.1600000000001</v>
      </c>
      <c r="JU26" s="1"/>
      <c r="JV26" s="7"/>
      <c r="JW26" s="5">
        <f>SUM(JW12:JW25)</f>
        <v>0</v>
      </c>
      <c r="JX26" s="1"/>
      <c r="JY26" s="14">
        <f>SUM(JY12:JY25)</f>
        <v>0</v>
      </c>
      <c r="JZ26" s="1"/>
      <c r="KA26" s="7"/>
      <c r="KB26" s="5">
        <f>SUM(KB12:KB25)</f>
        <v>2</v>
      </c>
      <c r="KC26" s="1"/>
      <c r="KD26" s="14">
        <f>SUM(KD12:KD25)</f>
        <v>3910.5</v>
      </c>
      <c r="KE26" s="1"/>
      <c r="KF26" s="7"/>
      <c r="KG26" s="5">
        <f>SUM(KG12:KG25)</f>
        <v>5</v>
      </c>
      <c r="KH26" s="1"/>
      <c r="KI26" s="14">
        <f>SUM(KI12:KI25)</f>
        <v>3224.1800000000003</v>
      </c>
      <c r="KJ26" s="1"/>
      <c r="KK26" s="7"/>
      <c r="KL26" s="5">
        <f>SUM(KL12:KL25)</f>
        <v>0</v>
      </c>
      <c r="KM26" s="1"/>
      <c r="KN26" s="14">
        <f>SUM(KN12:KN25)</f>
        <v>0</v>
      </c>
      <c r="KO26" s="1"/>
      <c r="KP26" s="7"/>
      <c r="KQ26" s="5">
        <f>SUM(KQ12:KQ25)</f>
        <v>0</v>
      </c>
      <c r="KR26" s="1"/>
      <c r="KS26" s="14">
        <f>SUM(KS12:KS25)</f>
        <v>0</v>
      </c>
      <c r="KT26" s="1"/>
      <c r="KU26" s="7"/>
      <c r="KV26" s="5">
        <f>SUM(KV12:KV25)</f>
        <v>5</v>
      </c>
      <c r="KW26" s="1"/>
      <c r="KX26" s="14">
        <f>SUM(KX12:KX25)</f>
        <v>5963.130000000001</v>
      </c>
      <c r="KY26" s="1"/>
      <c r="KZ26" s="7"/>
      <c r="LA26" s="5">
        <f>SUM(LA12:LA25)</f>
        <v>0</v>
      </c>
      <c r="LB26" s="1"/>
      <c r="LC26" s="14">
        <f>SUM(LC12:LC25)</f>
        <v>0</v>
      </c>
      <c r="LD26" s="1"/>
      <c r="LE26" s="7"/>
      <c r="LF26" s="5">
        <f>SUM(LF12:LF25)</f>
        <v>147</v>
      </c>
      <c r="LG26" s="1"/>
      <c r="LH26" s="14">
        <f>SUM(LH12:LH25)</f>
        <v>88079.83</v>
      </c>
      <c r="LI26" s="1"/>
      <c r="LJ26" s="7"/>
      <c r="LK26" s="5">
        <f>SUM(LK12:LK25)</f>
        <v>3</v>
      </c>
      <c r="LL26" s="1"/>
      <c r="LM26" s="14">
        <f>SUM(LM12:LM25)</f>
        <v>2172.94</v>
      </c>
      <c r="LN26" s="1"/>
      <c r="LO26" s="7"/>
      <c r="LP26" s="5">
        <f>SUM(LP12:LP25)</f>
        <v>0</v>
      </c>
      <c r="LQ26" s="1"/>
      <c r="LR26" s="14">
        <f>SUM(LR12:LR25)</f>
        <v>0</v>
      </c>
      <c r="LS26" s="1"/>
      <c r="LU26" s="6"/>
      <c r="LV26" s="7"/>
      <c r="LW26" s="5">
        <f>SUM(LW12:LW25)</f>
        <v>0</v>
      </c>
      <c r="LX26" s="1"/>
      <c r="LY26" s="14">
        <f>SUM(LY12:LY25)</f>
        <v>0</v>
      </c>
      <c r="LZ26" s="1"/>
      <c r="MA26" s="7"/>
      <c r="MB26" s="5">
        <f>SUM(MB12:MB25)</f>
        <v>10</v>
      </c>
      <c r="MC26" s="1"/>
      <c r="MD26" s="14">
        <f>SUM(MD12:MD25)</f>
        <v>37340.42</v>
      </c>
      <c r="ME26" s="1"/>
      <c r="MF26" s="7"/>
      <c r="MG26" s="5">
        <f>SUM(MG12:MG25)</f>
        <v>7</v>
      </c>
      <c r="MH26" s="1"/>
      <c r="MI26" s="14">
        <f>SUM(MI12:MI25)</f>
        <v>28446.05</v>
      </c>
      <c r="MJ26" s="1"/>
      <c r="MK26" s="7"/>
      <c r="ML26" s="5">
        <f>SUM(ML12:ML25)</f>
        <v>0</v>
      </c>
      <c r="MM26" s="1"/>
      <c r="MN26" s="14">
        <f>SUM(MN12:MN25)</f>
        <v>0</v>
      </c>
      <c r="MO26" s="1"/>
      <c r="MP26" s="7"/>
      <c r="MQ26" s="5">
        <f>SUM(MQ12:MQ25)</f>
        <v>9</v>
      </c>
      <c r="MR26" s="1"/>
      <c r="MS26" s="14">
        <f>SUM(MS12:MS25)</f>
        <v>25987.27</v>
      </c>
      <c r="MT26" s="1"/>
      <c r="MU26" s="7"/>
      <c r="MV26" s="5">
        <f>SUM(MV12:MV25)</f>
        <v>62</v>
      </c>
      <c r="MW26" s="1"/>
      <c r="MX26" s="14">
        <f>SUM(MX12:MX25)</f>
        <v>172523.85</v>
      </c>
      <c r="MY26" s="1"/>
      <c r="MZ26" s="7"/>
      <c r="NA26" s="5">
        <f>SUM(NA12:NA25)</f>
        <v>0</v>
      </c>
      <c r="NB26" s="1"/>
      <c r="NC26" s="14">
        <f>SUM(NC12:NC25)</f>
        <v>0</v>
      </c>
      <c r="ND26" s="1"/>
      <c r="NE26" s="7"/>
      <c r="NF26" s="5">
        <f>SUM(NF12:NF25)</f>
        <v>27</v>
      </c>
      <c r="NG26" s="1"/>
      <c r="NH26" s="14">
        <f>SUM(NH12:NH25)</f>
        <v>90184.110000000015</v>
      </c>
      <c r="NI26" s="1"/>
      <c r="NJ26" s="7"/>
      <c r="NK26" s="5">
        <f>SUM(NK12:NK25)</f>
        <v>20</v>
      </c>
      <c r="NL26" s="1"/>
      <c r="NM26" s="14">
        <f>SUM(NM12:NM25)</f>
        <v>65742.19</v>
      </c>
      <c r="NN26" s="1"/>
      <c r="NO26" s="7"/>
      <c r="NP26" s="5">
        <f>SUM(NP12:NP25)</f>
        <v>5</v>
      </c>
      <c r="NQ26" s="1"/>
      <c r="NR26" s="14">
        <f>SUM(NR12:NR25)</f>
        <v>11183.48</v>
      </c>
      <c r="NS26" s="1"/>
      <c r="NT26" s="7"/>
      <c r="NU26" s="5">
        <f>SUM(NU12:NU25)</f>
        <v>14</v>
      </c>
      <c r="NV26" s="1"/>
      <c r="NW26" s="14">
        <f>SUM(NW12:NW25)</f>
        <v>47078.91</v>
      </c>
      <c r="NX26" s="1"/>
      <c r="NY26" s="7"/>
      <c r="NZ26" s="5">
        <f>SUM(NZ12:NZ25)</f>
        <v>1</v>
      </c>
      <c r="OA26" s="1"/>
      <c r="OB26" s="14">
        <f>SUM(OB12:OB25)</f>
        <v>2025</v>
      </c>
      <c r="OC26" s="1"/>
      <c r="OD26" s="7"/>
      <c r="OE26" s="5">
        <f>SUM(OE12:OE25)</f>
        <v>0</v>
      </c>
      <c r="OF26" s="1"/>
      <c r="OG26" s="14">
        <f>SUM(OG12:OG25)</f>
        <v>0</v>
      </c>
      <c r="OH26" s="1"/>
      <c r="OI26" s="7"/>
      <c r="OJ26" s="5">
        <f>SUM(OJ12:OJ25)</f>
        <v>0</v>
      </c>
      <c r="OK26" s="1"/>
      <c r="OL26" s="14">
        <f>SUM(OL12:OL25)</f>
        <v>0</v>
      </c>
      <c r="OM26" s="1"/>
      <c r="ON26" s="7"/>
      <c r="OO26" s="5">
        <f>SUM(OO12:OO25)</f>
        <v>0</v>
      </c>
      <c r="OP26" s="1"/>
      <c r="OQ26" s="14">
        <f>SUM(OQ12:OQ25)</f>
        <v>0</v>
      </c>
      <c r="OR26" s="1"/>
      <c r="OS26" s="7"/>
      <c r="OT26" s="5">
        <f>SUM(OT12:OT25)</f>
        <v>25</v>
      </c>
      <c r="OU26" s="1"/>
      <c r="OV26" s="14">
        <f>SUM(OV12:OV25)</f>
        <v>51286.86</v>
      </c>
      <c r="OW26" s="1"/>
      <c r="OX26" s="7"/>
      <c r="OY26" s="5">
        <f>SUM(OY12:OY25)</f>
        <v>2</v>
      </c>
      <c r="OZ26" s="1"/>
      <c r="PA26" s="14">
        <f>SUM(PA12:PA25)</f>
        <v>3846.84</v>
      </c>
      <c r="PB26" s="1"/>
      <c r="PC26" s="7"/>
      <c r="PD26" s="5">
        <f>SUM(PD12:PD25)</f>
        <v>15</v>
      </c>
      <c r="PE26" s="1"/>
      <c r="PF26" s="14">
        <f>SUM(PF12:PF25)</f>
        <v>29211.75</v>
      </c>
      <c r="PG26" s="1"/>
      <c r="PH26" s="7"/>
      <c r="PI26" s="5">
        <f>SUM(PI12:PI25)</f>
        <v>1</v>
      </c>
      <c r="PJ26" s="1"/>
      <c r="PK26" s="14">
        <f>SUM(PK12:PK25)</f>
        <v>4339.03</v>
      </c>
      <c r="PL26" s="1"/>
      <c r="PN26" s="6"/>
      <c r="PO26" s="7"/>
      <c r="PP26" s="5">
        <f>SUM(PP12:PP25)</f>
        <v>0</v>
      </c>
      <c r="PQ26" s="1"/>
      <c r="PR26" s="14">
        <f>SUM(PR12:PR25)</f>
        <v>0</v>
      </c>
      <c r="PS26" s="1"/>
      <c r="PT26" s="7"/>
      <c r="PU26" s="5">
        <f>SUM(PU12:PU25)</f>
        <v>2</v>
      </c>
      <c r="PV26" s="1"/>
      <c r="PW26" s="14">
        <f>SUM(PW12:PW25)</f>
        <v>0</v>
      </c>
      <c r="PX26" s="1"/>
      <c r="PY26" s="7"/>
      <c r="PZ26" s="5">
        <f>SUM(PZ12:PZ25)</f>
        <v>2</v>
      </c>
      <c r="QA26" s="1"/>
      <c r="QB26" s="14">
        <f>SUM(QB12:QB25)</f>
        <v>0</v>
      </c>
      <c r="QC26" s="1"/>
      <c r="QD26" s="7"/>
      <c r="QE26" s="5">
        <f>SUM(QE12:QE25)</f>
        <v>0</v>
      </c>
      <c r="QF26" s="1"/>
      <c r="QG26" s="14">
        <f>SUM(QG12:QG25)</f>
        <v>0</v>
      </c>
      <c r="QH26" s="1"/>
      <c r="QI26" s="7"/>
      <c r="QJ26" s="5">
        <f>SUM(QJ12:QJ25)</f>
        <v>0</v>
      </c>
      <c r="QK26" s="1"/>
      <c r="QL26" s="14">
        <f>SUM(QL12:QL25)</f>
        <v>0</v>
      </c>
      <c r="QM26" s="1"/>
      <c r="QN26" s="7"/>
      <c r="QO26" s="5">
        <f>SUM(QO12:QO25)</f>
        <v>0</v>
      </c>
      <c r="QP26" s="1"/>
      <c r="QQ26" s="14">
        <f>SUM(QQ12:QQ25)</f>
        <v>0</v>
      </c>
      <c r="QR26" s="1"/>
      <c r="QS26" s="7"/>
      <c r="QT26" s="5">
        <f>SUM(QT12:QT25)</f>
        <v>0</v>
      </c>
      <c r="QU26" s="1"/>
      <c r="QV26" s="14">
        <f>SUM(QV12:QV25)</f>
        <v>0</v>
      </c>
      <c r="QW26" s="1"/>
      <c r="QX26" s="7"/>
      <c r="QY26" s="5">
        <f>SUM(QY12:QY25)</f>
        <v>0</v>
      </c>
      <c r="QZ26" s="1"/>
      <c r="RA26" s="14">
        <f>SUM(RA12:RA25)</f>
        <v>0</v>
      </c>
      <c r="RB26" s="1"/>
      <c r="RC26" s="7"/>
      <c r="RD26" s="5">
        <f>SUM(RD12:RD25)</f>
        <v>0</v>
      </c>
      <c r="RE26" s="1"/>
      <c r="RF26" s="14">
        <f>SUM(RF12:RF25)</f>
        <v>0</v>
      </c>
      <c r="RG26" s="1"/>
      <c r="RH26" s="7"/>
      <c r="RI26" s="5">
        <f>SUM(RI12:RI25)</f>
        <v>0</v>
      </c>
      <c r="RJ26" s="1"/>
      <c r="RK26" s="14">
        <f>SUM(RK12:RK25)</f>
        <v>0</v>
      </c>
      <c r="RL26" s="1"/>
      <c r="RM26" s="7"/>
      <c r="RN26" s="5">
        <f>SUM(RN12:RN25)</f>
        <v>0</v>
      </c>
      <c r="RO26" s="1"/>
      <c r="RP26" s="14">
        <f>SUM(RP12:RP25)</f>
        <v>0</v>
      </c>
      <c r="RQ26" s="1"/>
      <c r="RR26" s="7"/>
      <c r="RS26" s="5">
        <f>SUM(RS12:RS25)</f>
        <v>0</v>
      </c>
      <c r="RT26" s="1"/>
      <c r="RU26" s="14">
        <f>SUM(RU12:RU25)</f>
        <v>0</v>
      </c>
      <c r="RV26" s="1"/>
      <c r="RW26" s="7"/>
      <c r="RX26" s="5">
        <f>SUM(RX12:RX25)</f>
        <v>0</v>
      </c>
      <c r="RY26" s="1"/>
      <c r="RZ26" s="14">
        <f>SUM(RZ12:RZ25)</f>
        <v>0</v>
      </c>
      <c r="SA26" s="1"/>
      <c r="SB26" s="7"/>
      <c r="SC26" s="5">
        <f>SUM(SC12:SC25)</f>
        <v>0</v>
      </c>
      <c r="SD26" s="1"/>
      <c r="SE26" s="14">
        <f>SUM(SE12:SE25)</f>
        <v>0</v>
      </c>
      <c r="SF26" s="1"/>
      <c r="SG26" s="7"/>
      <c r="SH26" s="5">
        <f>SUM(SH12:SH25)</f>
        <v>0</v>
      </c>
      <c r="SI26" s="1"/>
      <c r="SJ26" s="14">
        <f>SUM(SJ12:SJ25)</f>
        <v>0</v>
      </c>
      <c r="SK26" s="1"/>
      <c r="SL26" s="7"/>
      <c r="SM26" s="5">
        <f>SUM(SM12:SM25)</f>
        <v>0</v>
      </c>
      <c r="SN26" s="1"/>
      <c r="SO26" s="14">
        <f>SUM(SO12:SO25)</f>
        <v>0</v>
      </c>
      <c r="SP26" s="1"/>
    </row>
    <row r="27" spans="1:510" s="22" customFormat="1" x14ac:dyDescent="0.25">
      <c r="B27" s="22">
        <f>SUMPRODUCT(B12:B25,C12:C25)</f>
        <v>0</v>
      </c>
      <c r="I27" s="22">
        <f>SUMPRODUCT(I12:I25,J12:J25)</f>
        <v>0</v>
      </c>
      <c r="P27" s="22">
        <f>SUMPRODUCT(P12:P25,Q12:Q25)</f>
        <v>82402.429999999993</v>
      </c>
      <c r="W27" s="22">
        <f>SUMPRODUCT(W12:W25,X12:X25)</f>
        <v>0</v>
      </c>
      <c r="Z27" s="23"/>
      <c r="AB27" s="22">
        <f>SUMPRODUCT(AB12:AB25,AC12:AC25)</f>
        <v>0</v>
      </c>
      <c r="AE27" s="23"/>
      <c r="AG27" s="22">
        <f>SUMPRODUCT(AG12:AG25,AH12:AH25)</f>
        <v>8519.3100000000013</v>
      </c>
      <c r="AJ27" s="23"/>
      <c r="AL27" s="22">
        <f>SUMPRODUCT(AL12:AL25,AM12:AM25)</f>
        <v>0</v>
      </c>
      <c r="AO27" s="23"/>
      <c r="AQ27" s="22">
        <f>SUMPRODUCT(AQ12:AQ25,AR12:AR25)</f>
        <v>0</v>
      </c>
      <c r="AT27" s="23"/>
      <c r="AV27" s="22">
        <f>SUMPRODUCT(AV12:AV25,AW12:AW25)</f>
        <v>0</v>
      </c>
      <c r="AY27" s="23"/>
      <c r="BC27" s="22">
        <f>SUMPRODUCT(BC12:BC25,BD12:BD25)</f>
        <v>3700.9700000000003</v>
      </c>
      <c r="BF27" s="23"/>
      <c r="BH27" s="22">
        <f>SUMPRODUCT(BH12:BH25,BI12:BI25)</f>
        <v>0</v>
      </c>
      <c r="BK27" s="23"/>
      <c r="BM27" s="22">
        <f>SUMPRODUCT(BM12:BM25,BN12:BN25)</f>
        <v>4425.62</v>
      </c>
      <c r="BP27" s="23"/>
      <c r="BR27" s="22">
        <f>SUMPRODUCT(BR12:BR25,BS12:BS25)</f>
        <v>6894.8600000000006</v>
      </c>
      <c r="BU27" s="23"/>
      <c r="BW27" s="22">
        <f>SUMPRODUCT(BW12:BW25,BX12:BX25)</f>
        <v>0</v>
      </c>
      <c r="BZ27" s="23"/>
      <c r="CB27" s="22">
        <f>SUMPRODUCT(CB12:CB25,CC12:CC25)</f>
        <v>0</v>
      </c>
      <c r="CE27" s="23"/>
      <c r="CI27" s="22">
        <f>SUMPRODUCT(CI12:CI25,CJ12:CJ25)</f>
        <v>43433.240000000005</v>
      </c>
      <c r="CL27" s="23"/>
      <c r="CN27" s="22">
        <f>SUMPRODUCT(CN12:CN25,CO12:CO25)</f>
        <v>0</v>
      </c>
      <c r="CQ27" s="23"/>
      <c r="CS27" s="22">
        <f>SUMPRODUCT(CS12:CS25,CT12:CT25)</f>
        <v>69779.960000000006</v>
      </c>
      <c r="CV27" s="23"/>
      <c r="CX27" s="22">
        <f>SUMPRODUCT(CX12:CX25,CY12:CY25)</f>
        <v>28122.35</v>
      </c>
      <c r="DA27" s="23"/>
      <c r="DC27" s="22">
        <f>SUMPRODUCT(DC12:DC25,DD12:DD25)</f>
        <v>2444.19</v>
      </c>
      <c r="DF27" s="23"/>
      <c r="DH27" s="22">
        <f>SUMPRODUCT(DH12:DH25,DI12:DI25)</f>
        <v>4757.6900000000005</v>
      </c>
      <c r="DK27" s="23"/>
      <c r="DO27" s="22">
        <f>SUMPRODUCT(DO12:DO25,DP12:DP25)</f>
        <v>143603.66999999998</v>
      </c>
      <c r="DR27" s="23"/>
      <c r="DV27" s="22">
        <f>SUMPRODUCT(DV12:DV25,DW12:DW25)</f>
        <v>17369.2</v>
      </c>
      <c r="DY27" s="23"/>
      <c r="EC27" s="22">
        <f>SUMPRODUCT(EC12:EC25,ED12:ED25)</f>
        <v>232896.73</v>
      </c>
      <c r="EF27" s="23"/>
      <c r="EJ27" s="22">
        <f>SUMPRODUCT(EJ12:EJ25,EK12:EK25)</f>
        <v>57036.67</v>
      </c>
      <c r="EM27" s="23"/>
      <c r="EO27" s="22">
        <f>SUMPRODUCT(EO12:EO25,EP12:EP25)</f>
        <v>0</v>
      </c>
      <c r="ER27" s="23"/>
      <c r="ET27" s="22">
        <f>SUMPRODUCT(ET12:ET25,EU12:EU25)</f>
        <v>13344.32</v>
      </c>
      <c r="EW27" s="23"/>
      <c r="EY27" s="22">
        <f>SUMPRODUCT(EY12:EY25,EZ12:EZ25)</f>
        <v>0</v>
      </c>
      <c r="FB27" s="23"/>
      <c r="FD27" s="22">
        <f>SUMPRODUCT(FD12:FD25,FE12:FE25)</f>
        <v>3834.2</v>
      </c>
      <c r="FG27" s="23"/>
      <c r="FI27" s="22">
        <f>SUMPRODUCT(FI12:FI25,FJ12:FJ25)</f>
        <v>4321.17</v>
      </c>
      <c r="FL27" s="23"/>
      <c r="FN27" s="22">
        <f>SUMPRODUCT(FN12:FN25,FO12:FO25)</f>
        <v>0</v>
      </c>
      <c r="FQ27" s="23"/>
      <c r="FS27" s="22">
        <f>SUMPRODUCT(FS12:FS25,FT12:FT25)</f>
        <v>7358.7</v>
      </c>
      <c r="FV27" s="23"/>
      <c r="FX27" s="22">
        <f>SUMPRODUCT(FX12:FX25,FY12:FY25)</f>
        <v>0</v>
      </c>
      <c r="GA27" s="23"/>
      <c r="GC27" s="22">
        <f>SUMPRODUCT(GC12:GC25,GD12:GD25)</f>
        <v>0</v>
      </c>
      <c r="GF27" s="23"/>
      <c r="GH27" s="22">
        <f>SUMPRODUCT(GH12:GH25,GI12:GI25)</f>
        <v>11087.539999999999</v>
      </c>
      <c r="GK27" s="23"/>
      <c r="GM27" s="22">
        <f>SUMPRODUCT(GM12:GM25,GN12:GN25)</f>
        <v>0</v>
      </c>
      <c r="GP27" s="23"/>
      <c r="GR27" s="22">
        <f>SUMPRODUCT(GR12:GR25,GS12:GS25)</f>
        <v>0</v>
      </c>
      <c r="GU27" s="23"/>
      <c r="GW27" s="22">
        <f>SUMPRODUCT(GW12:GW25,GX12:GX25)</f>
        <v>0</v>
      </c>
      <c r="GZ27" s="23"/>
      <c r="HB27" s="22">
        <f>SUMPRODUCT(HB12:HB25,HC12:HC25)</f>
        <v>0</v>
      </c>
      <c r="HE27" s="23"/>
      <c r="HG27" s="22">
        <f>SUMPRODUCT(HG12:HG25,HH12:HH25)</f>
        <v>0</v>
      </c>
      <c r="HJ27" s="23"/>
      <c r="HL27" s="22">
        <f>SUMPRODUCT(HL12:HL25,HM12:HM25)</f>
        <v>11238.289999999999</v>
      </c>
      <c r="HO27" s="23"/>
      <c r="HQ27" s="22">
        <f>SUMPRODUCT(HQ12:HQ25,HR12:HR25)</f>
        <v>46547.56</v>
      </c>
      <c r="HT27" s="23"/>
      <c r="HV27" s="22">
        <f>SUMPRODUCT(HV12:HV25,HW12:HW25)</f>
        <v>0</v>
      </c>
      <c r="HY27" s="23"/>
      <c r="IC27" s="22">
        <f>SUMPRODUCT(IC12:IC25,ID12:ID25)</f>
        <v>0</v>
      </c>
      <c r="IF27" s="23"/>
      <c r="IH27" s="22">
        <f>SUMPRODUCT(IH12:IH25,II12:II25)</f>
        <v>0</v>
      </c>
      <c r="IK27" s="23"/>
      <c r="IM27" s="22">
        <f>SUMPRODUCT(IM12:IM25,IN12:IN25)</f>
        <v>2562.29</v>
      </c>
      <c r="IP27" s="23"/>
      <c r="IR27" s="22">
        <f>SUMPRODUCT(IR12:IR25,IS12:IS25)</f>
        <v>2134.34</v>
      </c>
      <c r="IU27" s="23"/>
      <c r="IW27" s="22">
        <f>SUMPRODUCT(IW12:IW25,IX12:IX25)</f>
        <v>0</v>
      </c>
      <c r="IZ27" s="23"/>
      <c r="JB27" s="22">
        <f>SUMPRODUCT(JB12:JB25,JC12:JC25)</f>
        <v>21000.04</v>
      </c>
      <c r="JE27" s="23"/>
      <c r="JG27" s="22">
        <f>SUMPRODUCT(JG12:JG25,JH12:JH25)</f>
        <v>0</v>
      </c>
      <c r="JJ27" s="23"/>
      <c r="JL27" s="22">
        <f>SUMPRODUCT(JL12:JL25,JM12:JM25)</f>
        <v>3191.05</v>
      </c>
      <c r="JO27" s="23"/>
      <c r="JQ27" s="22">
        <f>SUMPRODUCT(JQ12:JQ25,JR12:JR25)</f>
        <v>1197.8399999999999</v>
      </c>
      <c r="JT27" s="23"/>
      <c r="JV27" s="22">
        <f>SUMPRODUCT(JV12:JV25,JW12:JW25)</f>
        <v>0</v>
      </c>
      <c r="JY27" s="23"/>
      <c r="KA27" s="22">
        <f>SUMPRODUCT(KA12:KA25,KB12:KB25)</f>
        <v>4113.12</v>
      </c>
      <c r="KD27" s="23"/>
      <c r="KF27" s="22">
        <f>SUMPRODUCT(KF12:KF25,KG12:KG25)</f>
        <v>3423.31</v>
      </c>
      <c r="KI27" s="23"/>
      <c r="KK27" s="22">
        <f>SUMPRODUCT(KK12:KK25,KL12:KL25)</f>
        <v>0</v>
      </c>
      <c r="KN27" s="23"/>
      <c r="KP27" s="22">
        <f>SUMPRODUCT(KP12:KP25,KQ12:KQ25)</f>
        <v>0</v>
      </c>
      <c r="KS27" s="23"/>
      <c r="KU27" s="22">
        <f>SUMPRODUCT(KU12:KU25,KV12:KV25)</f>
        <v>6331.4</v>
      </c>
      <c r="KX27" s="23"/>
      <c r="KZ27" s="22">
        <f>SUMPRODUCT(KZ12:KZ25,LA12:LA25)</f>
        <v>0</v>
      </c>
      <c r="LC27" s="23"/>
      <c r="LE27" s="22">
        <f>SUMPRODUCT(LE12:LE25,LF12:LF25)</f>
        <v>97853.38</v>
      </c>
      <c r="LH27" s="23"/>
      <c r="LJ27" s="22">
        <f>SUMPRODUCT(LJ12:LJ25,LK12:LK25)</f>
        <v>2307.11</v>
      </c>
      <c r="LM27" s="23"/>
      <c r="LO27" s="22">
        <f>SUMPRODUCT(LO12:LO25,LP12:LP25)</f>
        <v>0</v>
      </c>
      <c r="LR27" s="23"/>
      <c r="LV27" s="22">
        <f>SUMPRODUCT(LV12:LV25,LW12:LW25)</f>
        <v>0</v>
      </c>
      <c r="LY27" s="23"/>
      <c r="MA27" s="22">
        <f>SUMPRODUCT(MA12:MA25,MB12:MB25)</f>
        <v>41487.679999999993</v>
      </c>
      <c r="MD27" s="23"/>
      <c r="MF27" s="22">
        <f>SUMPRODUCT(MF12:MF25,MG12:MG25)</f>
        <v>29035.48</v>
      </c>
      <c r="MI27" s="23"/>
      <c r="MK27" s="22">
        <f>SUMPRODUCT(MK12:MK25,ML12:ML25)</f>
        <v>0</v>
      </c>
      <c r="MN27" s="23"/>
      <c r="MP27" s="22">
        <f>SUMPRODUCT(MP12:MP25,MQ12:MQ25)</f>
        <v>27012.98</v>
      </c>
      <c r="MS27" s="23"/>
      <c r="MU27" s="22">
        <f>SUMPRODUCT(MU12:MU25,MV12:MV25)</f>
        <v>172509.18000000002</v>
      </c>
      <c r="MX27" s="23"/>
      <c r="MZ27" s="22">
        <f>SUMPRODUCT(MZ12:MZ25,NA12:NA25)</f>
        <v>0</v>
      </c>
      <c r="NC27" s="23"/>
      <c r="NE27" s="22">
        <f>SUMPRODUCT(NE12:NE25,NF12:NF25)</f>
        <v>94607.71</v>
      </c>
      <c r="NH27" s="23"/>
      <c r="NJ27" s="22">
        <f>SUMPRODUCT(NJ12:NJ25,NK12:NK25)</f>
        <v>70269.02</v>
      </c>
      <c r="NM27" s="23"/>
      <c r="NO27" s="22">
        <f>SUMPRODUCT(NO12:NO25,NP12:NP25)</f>
        <v>11732.01</v>
      </c>
      <c r="NR27" s="23"/>
      <c r="NT27" s="22">
        <f>SUMPRODUCT(NT12:NT25,NU12:NU25)</f>
        <v>49388.14</v>
      </c>
      <c r="NW27" s="23"/>
      <c r="NY27" s="22">
        <f>SUMPRODUCT(NY12:NY25,NZ12:NZ25)</f>
        <v>2164.44</v>
      </c>
      <c r="OB27" s="23"/>
      <c r="OD27" s="22">
        <f>SUMPRODUCT(OD12:OD25,OE12:OE25)</f>
        <v>0</v>
      </c>
      <c r="OG27" s="23"/>
      <c r="OI27" s="22">
        <f>SUMPRODUCT(OI12:OI25,OJ12:OJ25)</f>
        <v>0</v>
      </c>
      <c r="OL27" s="23"/>
      <c r="ON27" s="22">
        <f>SUMPRODUCT(ON12:ON25,OO12:OO25)</f>
        <v>0</v>
      </c>
      <c r="OQ27" s="23"/>
      <c r="OS27" s="22">
        <f>SUMPRODUCT(OS12:OS25,OT12:OT25)</f>
        <v>54818.420000000006</v>
      </c>
      <c r="OV27" s="23"/>
      <c r="OX27" s="22">
        <f>SUMPRODUCT(OX12:OX25,OY12:OY25)</f>
        <v>4274.07</v>
      </c>
      <c r="PA27" s="23"/>
      <c r="PC27" s="22">
        <f>SUMPRODUCT(PC12:PC25,PD12:PD25)</f>
        <v>30644.55</v>
      </c>
      <c r="PF27" s="23"/>
      <c r="PH27" s="22">
        <f>SUMPRODUCT(PH12:PH25,PI12:PI25)</f>
        <v>4510.28</v>
      </c>
      <c r="PK27" s="23"/>
      <c r="PO27" s="22">
        <f>SUMPRODUCT(PO12:PO25,PP12:PP25)</f>
        <v>0</v>
      </c>
      <c r="PR27" s="23"/>
      <c r="PT27" s="22">
        <f>SUMPRODUCT(PT12:PT25,PU12:PU25)</f>
        <v>14650.46</v>
      </c>
      <c r="PW27" s="23"/>
      <c r="PY27" s="22">
        <f>SUMPRODUCT(PY12:PY25,PZ12:PZ25)</f>
        <v>8006.32</v>
      </c>
      <c r="QB27" s="23"/>
      <c r="QD27" s="22">
        <f>SUMPRODUCT(QD12:QD25,QE12:QE25)</f>
        <v>0</v>
      </c>
      <c r="QG27" s="23"/>
      <c r="QI27" s="22">
        <f>SUMPRODUCT(QI12:QI25,QJ12:QJ25)</f>
        <v>0</v>
      </c>
      <c r="QL27" s="23"/>
      <c r="QN27" s="22">
        <f>SUMPRODUCT(QN12:QN25,QO12:QO25)</f>
        <v>0</v>
      </c>
      <c r="QQ27" s="23"/>
      <c r="QS27" s="22">
        <f>SUMPRODUCT(QS12:QS25,QT12:QT25)</f>
        <v>0</v>
      </c>
      <c r="QV27" s="23"/>
      <c r="QX27" s="22">
        <f>SUMPRODUCT(QX12:QX25,QY12:QY25)</f>
        <v>0</v>
      </c>
      <c r="RA27" s="23"/>
      <c r="RC27" s="22">
        <f>SUMPRODUCT(RC12:RC25,RD12:RD25)</f>
        <v>0</v>
      </c>
      <c r="RF27" s="23"/>
      <c r="RH27" s="22">
        <f>SUMPRODUCT(RH12:RH25,RI12:RI25)</f>
        <v>0</v>
      </c>
      <c r="RK27" s="23"/>
      <c r="RM27" s="22">
        <f>SUMPRODUCT(RM12:RM25,RN12:RN25)</f>
        <v>0</v>
      </c>
      <c r="RP27" s="23"/>
      <c r="RR27" s="22">
        <f>SUMPRODUCT(RR12:RR25,RS12:RS25)</f>
        <v>0</v>
      </c>
      <c r="RU27" s="23"/>
      <c r="RW27" s="22">
        <f>SUMPRODUCT(RW12:RW25,RX12:RX25)</f>
        <v>0</v>
      </c>
      <c r="RZ27" s="23"/>
      <c r="SB27" s="22">
        <f>SUMPRODUCT(SB12:SB25,SC12:SC25)</f>
        <v>0</v>
      </c>
      <c r="SE27" s="23"/>
      <c r="SG27" s="22">
        <f>SUMPRODUCT(SG12:SG25,SH12:SH25)</f>
        <v>0</v>
      </c>
      <c r="SJ27" s="23"/>
      <c r="SL27" s="22">
        <f>SUMPRODUCT(SL12:SL25,SM12:SM25)</f>
        <v>0</v>
      </c>
      <c r="SO27" s="23"/>
    </row>
    <row r="28" spans="1:510" s="22" customFormat="1" x14ac:dyDescent="0.25">
      <c r="F28" s="22" t="s">
        <v>57</v>
      </c>
      <c r="H28" s="29">
        <f>SUM(B27:PL27)</f>
        <v>1539686.51</v>
      </c>
      <c r="V28" s="24" t="s">
        <v>53</v>
      </c>
      <c r="W28" s="25"/>
      <c r="X28" s="25"/>
      <c r="Y28" s="25"/>
      <c r="Z28" s="28">
        <f>(SUM(Z26,AE26,AJ26,AO26,AT26,AY26))/(SUM(W27,AB27,AG27,AL27,AQ27,AV27))-1</f>
        <v>-4.9980573544101681E-2</v>
      </c>
      <c r="AB28" s="25"/>
      <c r="AC28" s="25"/>
      <c r="AD28" s="25"/>
      <c r="AE28" s="27"/>
      <c r="AG28" s="25"/>
      <c r="AH28" s="25"/>
      <c r="AI28" s="25"/>
      <c r="AJ28" s="27"/>
      <c r="AL28" s="25"/>
      <c r="AM28" s="25"/>
      <c r="AN28" s="25"/>
      <c r="AO28" s="27"/>
      <c r="AQ28" s="25"/>
      <c r="AR28" s="25"/>
      <c r="AS28" s="25"/>
      <c r="AT28" s="27"/>
      <c r="BB28" s="24" t="s">
        <v>53</v>
      </c>
      <c r="BC28" s="25"/>
      <c r="BD28" s="25"/>
      <c r="BE28" s="25"/>
      <c r="BF28" s="28">
        <f>(SUM(BF26,BK26,BP26,BU26,BZ26,CE26))/(SUM(BC27,BH27,BM27,BR27,BW27,CB27))-1</f>
        <v>-4.9958559260257829E-2</v>
      </c>
      <c r="BH28" s="25"/>
      <c r="BI28" s="25"/>
      <c r="BJ28" s="25"/>
      <c r="BK28" s="27"/>
      <c r="BM28" s="25"/>
      <c r="BN28" s="25"/>
      <c r="BO28" s="25"/>
      <c r="BP28" s="27"/>
      <c r="CH28" s="24" t="s">
        <v>53</v>
      </c>
      <c r="CI28" s="25"/>
      <c r="CJ28" s="25"/>
      <c r="CK28" s="25"/>
      <c r="CL28" s="28">
        <f>(SUM(CL26,CQ26,CV26,DA26,DF26,DK26))/(SUM(CI27,CN27,CS27,CX27,DC27,DH27))-1</f>
        <v>-4.9998104854783065E-2</v>
      </c>
      <c r="EI28" s="24" t="s">
        <v>143</v>
      </c>
      <c r="EJ28" s="25"/>
      <c r="EK28" s="25"/>
      <c r="EL28" s="25"/>
      <c r="EM28" s="30">
        <f>(SUM(EM26,EW26,FB26,FG26,FV26,GA26,GF26,GK26,GP26,GU26,GZ26,HE26,HJ26,HT26,HY26))/(SUM(EJ27,ET27,EY27,FD27,FS27,FX27,GC27,GH27,GM27,GR27,GW27,HB27,HG27,HQ27,HV27))-1</f>
        <v>-4.9976513729465322E-2</v>
      </c>
      <c r="IB28" s="24" t="s">
        <v>143</v>
      </c>
      <c r="IC28" s="25"/>
      <c r="ID28" s="25"/>
      <c r="IE28" s="25"/>
      <c r="IF28" s="30">
        <f>(SUM(IF26,IP26,IU26,IZ26,JO26,JT26,JY26,KD26,KI26,KN26,KS26,KX26,LC26,LM26,LR26))/(SUM(IC27,IM27,IR27,IW27,JL27,JQ27,JV27,KA27,KF27,KK27,KP27,KU27,KZ27,LJ27,LO27))-1</f>
        <v>-4.9978503954401399E-2</v>
      </c>
      <c r="IH28" s="25"/>
      <c r="II28" s="25"/>
      <c r="IJ28" s="25"/>
      <c r="IK28" s="26"/>
      <c r="LU28" s="24" t="s">
        <v>143</v>
      </c>
      <c r="LV28" s="25"/>
      <c r="LW28" s="25"/>
      <c r="LX28" s="25"/>
      <c r="LY28" s="30">
        <f>(SUM(LY26,MI26,MN26,MS26,NH26,NM26,NR26,NW26,OB26,OG26,OL26,OQ26,OV26,PF26,PK26))/(SUM(LV27,MF27,MK27,MP27,NE27,NJ27,NO27,NT27,NY27,OD27,OI27,ON27,OS27,PC27,PH27))-1</f>
        <v>-4.9971213285647909E-2</v>
      </c>
      <c r="PN28" s="24" t="s">
        <v>53</v>
      </c>
      <c r="PO28" s="25"/>
      <c r="PP28" s="25"/>
      <c r="PQ28" s="25"/>
      <c r="PR28" s="28">
        <f>(SUM(PR26,PW26,QB26,QG26,QL26,QQ26,QV26,RA26,RF26,RK26,RP26,RU26,RZ26,SE26,SJ26,SO26))/(SUM(PO27,PT27,PY27,QD27,QI27,QN27,QS27,QX27,RC27,RH27,RM27,RR27,RW27,SB27,SG27,SL27))-1</f>
        <v>-1</v>
      </c>
      <c r="PT28" s="25"/>
      <c r="PU28" s="25"/>
      <c r="PV28" s="25"/>
      <c r="PW28" s="27"/>
    </row>
    <row r="29" spans="1:510" s="22" customFormat="1" x14ac:dyDescent="0.25">
      <c r="F29" s="22" t="s">
        <v>58</v>
      </c>
      <c r="H29" s="29">
        <f>C46</f>
        <v>1480515.54</v>
      </c>
      <c r="V29" s="24"/>
      <c r="W29" s="25"/>
      <c r="X29" s="25"/>
      <c r="Y29" s="25"/>
      <c r="Z29" s="27"/>
      <c r="AB29" s="25"/>
      <c r="AC29" s="25"/>
      <c r="AD29" s="25"/>
      <c r="AE29" s="27"/>
      <c r="AG29" s="25"/>
      <c r="AH29" s="25"/>
      <c r="AI29" s="25"/>
      <c r="AJ29" s="27"/>
      <c r="AL29" s="25"/>
      <c r="AM29" s="25"/>
      <c r="AN29" s="25"/>
      <c r="AO29" s="27"/>
      <c r="AQ29" s="25"/>
      <c r="AR29" s="25"/>
      <c r="AS29" s="25"/>
      <c r="AT29" s="27"/>
      <c r="BB29" s="24"/>
      <c r="BC29" s="25"/>
      <c r="BD29" s="25"/>
      <c r="BE29" s="25"/>
      <c r="BF29" s="27"/>
      <c r="BH29" s="25"/>
      <c r="BI29" s="25"/>
      <c r="BJ29" s="25"/>
      <c r="BK29" s="27"/>
      <c r="BM29" s="25"/>
      <c r="BN29" s="25"/>
      <c r="BO29" s="25"/>
      <c r="BP29" s="27"/>
      <c r="CH29" s="24"/>
      <c r="CI29" s="25"/>
      <c r="CJ29" s="25"/>
      <c r="CK29" s="25"/>
      <c r="CL29" s="28"/>
      <c r="EI29" s="24"/>
      <c r="EL29" s="37"/>
      <c r="EM29" s="26"/>
      <c r="IB29" s="24"/>
      <c r="IC29" s="25"/>
      <c r="ID29" s="25"/>
      <c r="IE29" s="25"/>
      <c r="IF29" s="26"/>
      <c r="IH29" s="25"/>
      <c r="II29" s="25"/>
      <c r="IJ29" s="25"/>
      <c r="IK29" s="26"/>
      <c r="LU29" s="24"/>
      <c r="LV29" s="25"/>
      <c r="LW29" s="25"/>
      <c r="LX29" s="25"/>
      <c r="LY29" s="27"/>
      <c r="PN29" s="24"/>
      <c r="PO29" s="25"/>
      <c r="PP29" s="25"/>
      <c r="PQ29" s="25"/>
      <c r="PR29" s="27"/>
      <c r="PT29" s="25"/>
      <c r="PU29" s="25"/>
      <c r="PV29" s="25"/>
      <c r="PW29" s="27"/>
    </row>
    <row r="30" spans="1:510" s="22" customFormat="1" x14ac:dyDescent="0.25">
      <c r="F30" t="s">
        <v>53</v>
      </c>
      <c r="G30"/>
      <c r="H30" s="21">
        <f>H29/H28-1</f>
        <v>-3.8430530900735116E-2</v>
      </c>
      <c r="BG30" s="29"/>
      <c r="CK30" s="34"/>
      <c r="CL30" s="36"/>
      <c r="EJ30"/>
      <c r="EK30"/>
      <c r="EL30" s="38"/>
      <c r="IE30" s="34"/>
      <c r="IF30" s="36"/>
      <c r="LX30" s="34"/>
      <c r="LY30" s="36"/>
    </row>
    <row r="31" spans="1:510" s="22" customFormat="1" x14ac:dyDescent="0.25">
      <c r="CK31" s="35"/>
      <c r="EM31" s="36"/>
      <c r="IE31" s="35"/>
      <c r="LV31"/>
      <c r="LW31"/>
      <c r="LX31" s="38"/>
      <c r="LY31"/>
    </row>
    <row r="32" spans="1:510" s="22" customFormat="1" x14ac:dyDescent="0.25">
      <c r="A32" s="25" t="s">
        <v>49</v>
      </c>
      <c r="CK32" s="35"/>
      <c r="EM32" s="36"/>
      <c r="IE32" s="35"/>
      <c r="LV32"/>
      <c r="LW32"/>
      <c r="LX32" s="38"/>
      <c r="LY32"/>
    </row>
    <row r="33" spans="1:337" s="22" customFormat="1" x14ac:dyDescent="0.25">
      <c r="B33" s="22" t="s">
        <v>50</v>
      </c>
      <c r="C33" s="22" t="s">
        <v>17</v>
      </c>
      <c r="D33" s="22" t="s">
        <v>97</v>
      </c>
      <c r="E33" s="22" t="s">
        <v>106</v>
      </c>
      <c r="F33" s="22" t="s">
        <v>53</v>
      </c>
      <c r="G33" s="22" t="s">
        <v>142</v>
      </c>
      <c r="H33" s="22" t="s">
        <v>131</v>
      </c>
      <c r="CK33" s="35"/>
      <c r="EM33" s="36"/>
      <c r="IE33" s="35"/>
      <c r="LV33"/>
      <c r="LW33"/>
      <c r="LX33" s="38"/>
      <c r="LY33"/>
    </row>
    <row r="34" spans="1:337" x14ac:dyDescent="0.25">
      <c r="A34" t="s">
        <v>20</v>
      </c>
      <c r="B34" s="16">
        <f>C26</f>
        <v>0</v>
      </c>
      <c r="C34" s="17">
        <f>E26</f>
        <v>0</v>
      </c>
      <c r="D34" t="s">
        <v>98</v>
      </c>
      <c r="E34">
        <v>1</v>
      </c>
      <c r="F34" s="31">
        <v>-0.1</v>
      </c>
      <c r="G34" t="s">
        <v>107</v>
      </c>
      <c r="H34" t="s">
        <v>116</v>
      </c>
    </row>
    <row r="35" spans="1:337" x14ac:dyDescent="0.25">
      <c r="A35" t="s">
        <v>21</v>
      </c>
      <c r="B35" s="16">
        <f>J26</f>
        <v>0</v>
      </c>
      <c r="C35" s="17">
        <f>L26</f>
        <v>0</v>
      </c>
      <c r="D35" t="s">
        <v>98</v>
      </c>
      <c r="E35">
        <v>1</v>
      </c>
      <c r="F35" s="31">
        <v>-0.1</v>
      </c>
      <c r="G35" t="s">
        <v>108</v>
      </c>
      <c r="H35" t="s">
        <v>117</v>
      </c>
    </row>
    <row r="36" spans="1:337" x14ac:dyDescent="0.25">
      <c r="A36" t="s">
        <v>24</v>
      </c>
      <c r="B36" s="16">
        <f>Q26</f>
        <v>19</v>
      </c>
      <c r="C36" s="17">
        <f>S26</f>
        <v>74161.91</v>
      </c>
      <c r="D36" t="s">
        <v>98</v>
      </c>
      <c r="E36">
        <v>1</v>
      </c>
      <c r="F36" s="31">
        <v>-0.1</v>
      </c>
      <c r="G36" t="s">
        <v>109</v>
      </c>
      <c r="H36" t="s">
        <v>118</v>
      </c>
    </row>
    <row r="37" spans="1:337" x14ac:dyDescent="0.25">
      <c r="A37" t="s">
        <v>25</v>
      </c>
      <c r="B37" s="16">
        <f>SUM(X26,AC26,AH26,AM26,AR26,AW26)</f>
        <v>2</v>
      </c>
      <c r="C37" s="17">
        <f>SUM(Z26,AE26,AJ26,AO26,AT26,AY26)</f>
        <v>8093.51</v>
      </c>
      <c r="D37" t="s">
        <v>99</v>
      </c>
      <c r="E37">
        <v>6</v>
      </c>
      <c r="F37" s="31">
        <v>-0.05</v>
      </c>
      <c r="G37" t="s">
        <v>110</v>
      </c>
      <c r="H37" t="s">
        <v>116</v>
      </c>
      <c r="P37" s="22" t="s">
        <v>70</v>
      </c>
      <c r="Q37" s="22"/>
      <c r="R37" s="22"/>
      <c r="S37" s="22"/>
    </row>
    <row r="38" spans="1:337" x14ac:dyDescent="0.25">
      <c r="A38" t="s">
        <v>27</v>
      </c>
      <c r="B38" s="16">
        <f>SUM(BD26,BI26,BN26,BS26,BX26,CC26)</f>
        <v>11</v>
      </c>
      <c r="C38" s="17">
        <f>SUM(BF26,BK26,BP26,BU26,BZ26,CE26)</f>
        <v>14271</v>
      </c>
      <c r="D38" t="s">
        <v>99</v>
      </c>
      <c r="E38">
        <v>6</v>
      </c>
      <c r="F38" s="31">
        <v>-0.05</v>
      </c>
      <c r="G38" t="s">
        <v>111</v>
      </c>
      <c r="H38" t="s">
        <v>117</v>
      </c>
      <c r="P38" s="32" t="s">
        <v>60</v>
      </c>
      <c r="Q38" s="32" t="s">
        <v>61</v>
      </c>
      <c r="R38" s="22" t="s">
        <v>97</v>
      </c>
      <c r="S38" s="22" t="s">
        <v>101</v>
      </c>
    </row>
    <row r="39" spans="1:337" x14ac:dyDescent="0.25">
      <c r="A39" t="s">
        <v>28</v>
      </c>
      <c r="B39" s="16">
        <f>SUM(CJ26,CO26,CT26,CY26,DD26,DI26)</f>
        <v>43</v>
      </c>
      <c r="C39" s="17">
        <f>SUM(CL26,CQ26,CV26,DA26,DF26,DK26)</f>
        <v>141110.84000000003</v>
      </c>
      <c r="D39" t="s">
        <v>99</v>
      </c>
      <c r="E39">
        <v>6</v>
      </c>
      <c r="F39" s="31">
        <v>-0.05</v>
      </c>
      <c r="G39" t="s">
        <v>112</v>
      </c>
      <c r="H39" t="s">
        <v>118</v>
      </c>
      <c r="P39" s="39" t="s">
        <v>62</v>
      </c>
      <c r="Q39" s="40">
        <v>-0.1</v>
      </c>
      <c r="R39" t="s">
        <v>95</v>
      </c>
      <c r="S39">
        <v>16</v>
      </c>
    </row>
    <row r="40" spans="1:337" x14ac:dyDescent="0.25">
      <c r="A40" t="s">
        <v>29</v>
      </c>
      <c r="B40" s="16">
        <f>SUM(DP26)</f>
        <v>18</v>
      </c>
      <c r="C40" s="17">
        <f>SUM(DR26)</f>
        <v>143620.57</v>
      </c>
      <c r="D40" t="s">
        <v>100</v>
      </c>
      <c r="E40">
        <v>1</v>
      </c>
      <c r="F40" s="31">
        <v>0</v>
      </c>
      <c r="G40" t="s">
        <v>113</v>
      </c>
      <c r="H40" t="s">
        <v>116</v>
      </c>
      <c r="P40" s="39" t="s">
        <v>63</v>
      </c>
      <c r="Q40" s="40">
        <v>-0.1</v>
      </c>
      <c r="R40" t="s">
        <v>95</v>
      </c>
      <c r="S40">
        <v>3</v>
      </c>
    </row>
    <row r="41" spans="1:337" x14ac:dyDescent="0.25">
      <c r="A41" t="s">
        <v>31</v>
      </c>
      <c r="B41" s="16">
        <f>SUM(DW26)</f>
        <v>4</v>
      </c>
      <c r="C41" s="17">
        <f>SUM(DY26)</f>
        <v>17371.27</v>
      </c>
      <c r="D41" t="s">
        <v>100</v>
      </c>
      <c r="E41">
        <v>1</v>
      </c>
      <c r="F41" s="31">
        <v>0</v>
      </c>
      <c r="G41" t="s">
        <v>114</v>
      </c>
      <c r="H41" t="s">
        <v>118</v>
      </c>
      <c r="P41" s="39" t="s">
        <v>64</v>
      </c>
      <c r="Q41" s="40">
        <v>-0.1</v>
      </c>
    </row>
    <row r="42" spans="1:337" x14ac:dyDescent="0.25">
      <c r="A42" t="s">
        <v>32</v>
      </c>
      <c r="B42" s="16">
        <f>SUM(ED26)</f>
        <v>44</v>
      </c>
      <c r="C42" s="17">
        <f>SUM(EF26)</f>
        <v>232924.43</v>
      </c>
      <c r="D42" t="s">
        <v>100</v>
      </c>
      <c r="E42">
        <v>1</v>
      </c>
      <c r="F42" s="31">
        <v>0</v>
      </c>
      <c r="G42" t="s">
        <v>115</v>
      </c>
      <c r="H42" t="s">
        <v>118</v>
      </c>
      <c r="P42" s="39" t="s">
        <v>65</v>
      </c>
      <c r="Q42" s="40">
        <v>0</v>
      </c>
      <c r="R42" t="s">
        <v>95</v>
      </c>
      <c r="S42">
        <v>7</v>
      </c>
    </row>
    <row r="43" spans="1:337" x14ac:dyDescent="0.25">
      <c r="A43" t="s">
        <v>33</v>
      </c>
      <c r="B43" s="16">
        <f>SUM(EK26,EP26,EU26,EZ26,FE26,FJ26,FO26,FT26,FY26,GD26,GI26,GN26,GS26,GX26,HC26,HH26,HM26,HR26,HW26)</f>
        <v>35</v>
      </c>
      <c r="C43" s="17">
        <f>SUM(EM26,ER26,EW26,FB26,FG26,FL26,FQ26,FV26,GA26,GF26,GK26,GP26,GU26,GZ26,HE26,HJ26,HO26,HT26,HY26)</f>
        <v>146688.07</v>
      </c>
      <c r="D43" t="s">
        <v>95</v>
      </c>
      <c r="E43">
        <v>19</v>
      </c>
      <c r="F43" t="s">
        <v>119</v>
      </c>
      <c r="G43" t="s">
        <v>102</v>
      </c>
      <c r="H43" t="s">
        <v>116</v>
      </c>
      <c r="P43" s="39" t="s">
        <v>66</v>
      </c>
      <c r="Q43" s="40">
        <v>0</v>
      </c>
    </row>
    <row r="44" spans="1:337" x14ac:dyDescent="0.25">
      <c r="A44" t="s">
        <v>51</v>
      </c>
      <c r="B44" s="16">
        <f>SUM(ID26,II26,IN26,IS26,IX26,JC26,JH26,JM26,JR26,JW26,KB26,KG26,KL26,KQ26,KV26,LA26,LF26,LK26,LP26)</f>
        <v>192</v>
      </c>
      <c r="C44" s="17">
        <f>SUM(IF26,IK26,IP26,IU26,IZ26,JE26,JJ26,JO26,JT26,JY26,KD26,KI26,KN26,KS26,KX26,LC26,LH26,LM26,LR26)</f>
        <v>133078.18</v>
      </c>
      <c r="D44" t="s">
        <v>95</v>
      </c>
      <c r="E44">
        <v>19</v>
      </c>
      <c r="F44" t="s">
        <v>119</v>
      </c>
      <c r="G44" t="s">
        <v>103</v>
      </c>
      <c r="H44" t="s">
        <v>117</v>
      </c>
      <c r="P44" s="39" t="s">
        <v>67</v>
      </c>
      <c r="Q44" s="40">
        <v>-0.1</v>
      </c>
      <c r="R44" t="s">
        <v>95</v>
      </c>
      <c r="S44">
        <v>7</v>
      </c>
    </row>
    <row r="45" spans="1:337" x14ac:dyDescent="0.25">
      <c r="A45" t="s">
        <v>52</v>
      </c>
      <c r="B45" s="16">
        <f>SUM(LW26,MB26,MG26,ML26,MQ26,MV26,NA26,NF26,NK26,NP26,NU26,NZ26,OE26,OJ26,OO26,OT26,OY26,PD26,PI26)</f>
        <v>198</v>
      </c>
      <c r="C45" s="17">
        <f>SUM(LY26,MD26,MI26,MN26,MS26,MX26,NC26,NH26,NM26,NR26,NW26,OB26,OG26,OL26,OQ26,OV26,PA26,PF26,PK26)</f>
        <v>569195.76</v>
      </c>
      <c r="D45" t="s">
        <v>95</v>
      </c>
      <c r="E45">
        <v>19</v>
      </c>
      <c r="F45" t="s">
        <v>119</v>
      </c>
      <c r="G45" t="s">
        <v>104</v>
      </c>
      <c r="H45" t="s">
        <v>118</v>
      </c>
      <c r="P45" s="39" t="s">
        <v>68</v>
      </c>
      <c r="Q45" s="40">
        <v>-0.1</v>
      </c>
      <c r="R45" t="s">
        <v>95</v>
      </c>
      <c r="S45">
        <v>16</v>
      </c>
    </row>
    <row r="46" spans="1:337" x14ac:dyDescent="0.25">
      <c r="A46" t="s">
        <v>144</v>
      </c>
      <c r="B46" s="18">
        <f ca="1">SUM(B34:B46)</f>
        <v>566</v>
      </c>
      <c r="C46" s="19">
        <f>SUM(C34:C45)</f>
        <v>1480515.54</v>
      </c>
      <c r="E46">
        <f>SUM(E34:E45)</f>
        <v>81</v>
      </c>
      <c r="P46" s="39" t="s">
        <v>69</v>
      </c>
      <c r="Q46" s="40">
        <v>-0.05</v>
      </c>
    </row>
    <row r="48" spans="1:337" x14ac:dyDescent="0.25">
      <c r="P48" s="39" t="s">
        <v>105</v>
      </c>
    </row>
    <row r="53" spans="6:6" x14ac:dyDescent="0.25">
      <c r="F53" s="31"/>
    </row>
    <row r="54" spans="6:6" x14ac:dyDescent="0.25">
      <c r="F54" s="31"/>
    </row>
    <row r="55" spans="6:6" x14ac:dyDescent="0.25">
      <c r="F55" s="31"/>
    </row>
    <row r="56" spans="6:6" x14ac:dyDescent="0.25">
      <c r="F56" s="31"/>
    </row>
    <row r="57" spans="6:6" x14ac:dyDescent="0.25">
      <c r="F57" s="31"/>
    </row>
    <row r="58" spans="6:6" x14ac:dyDescent="0.25">
      <c r="F58" s="31"/>
    </row>
    <row r="59" spans="6:6" x14ac:dyDescent="0.25">
      <c r="F59" s="31"/>
    </row>
    <row r="60" spans="6:6" x14ac:dyDescent="0.25">
      <c r="F60" s="31"/>
    </row>
  </sheetData>
  <mergeCells count="162">
    <mergeCell ref="CX10:DB10"/>
    <mergeCell ref="DC10:DG10"/>
    <mergeCell ref="DH10:DL10"/>
    <mergeCell ref="DO10:DS10"/>
    <mergeCell ref="DV10:DZ10"/>
    <mergeCell ref="EC10:EG10"/>
    <mergeCell ref="BR10:BV10"/>
    <mergeCell ref="BW10:CA10"/>
    <mergeCell ref="CB10:CF10"/>
    <mergeCell ref="CI10:CM10"/>
    <mergeCell ref="CN10:CR10"/>
    <mergeCell ref="CS10:CW10"/>
    <mergeCell ref="SL10:SP10"/>
    <mergeCell ref="W10:AA10"/>
    <mergeCell ref="AB10:AF10"/>
    <mergeCell ref="AG10:AK10"/>
    <mergeCell ref="AL10:AP10"/>
    <mergeCell ref="AQ10:AU10"/>
    <mergeCell ref="RH10:RL10"/>
    <mergeCell ref="RM10:RQ10"/>
    <mergeCell ref="RR10:RV10"/>
    <mergeCell ref="RW10:SA10"/>
    <mergeCell ref="SB10:SF10"/>
    <mergeCell ref="SG10:SK10"/>
    <mergeCell ref="QD10:QH10"/>
    <mergeCell ref="QI10:QM10"/>
    <mergeCell ref="QN10:QR10"/>
    <mergeCell ref="QS10:QW10"/>
    <mergeCell ref="QX10:RB10"/>
    <mergeCell ref="RC10:RG10"/>
    <mergeCell ref="OX10:PB10"/>
    <mergeCell ref="PC10:PG10"/>
    <mergeCell ref="PH10:PL10"/>
    <mergeCell ref="PO10:PS10"/>
    <mergeCell ref="PT10:PX10"/>
    <mergeCell ref="PY10:QC10"/>
    <mergeCell ref="NT10:NX10"/>
    <mergeCell ref="NY10:OC10"/>
    <mergeCell ref="OD10:OH10"/>
    <mergeCell ref="OI10:OM10"/>
    <mergeCell ref="ON10:OR10"/>
    <mergeCell ref="OS10:OW10"/>
    <mergeCell ref="MP10:MT10"/>
    <mergeCell ref="MU10:MY10"/>
    <mergeCell ref="MZ10:ND10"/>
    <mergeCell ref="NE10:NI10"/>
    <mergeCell ref="NJ10:NN10"/>
    <mergeCell ref="NO10:NS10"/>
    <mergeCell ref="LJ10:LN10"/>
    <mergeCell ref="LO10:LS10"/>
    <mergeCell ref="LV10:LZ10"/>
    <mergeCell ref="MA10:ME10"/>
    <mergeCell ref="MF10:MJ10"/>
    <mergeCell ref="MK10:MO10"/>
    <mergeCell ref="KF10:KJ10"/>
    <mergeCell ref="KK10:KO10"/>
    <mergeCell ref="KP10:KT10"/>
    <mergeCell ref="KU10:KY10"/>
    <mergeCell ref="KZ10:LD10"/>
    <mergeCell ref="LE10:LI10"/>
    <mergeCell ref="JQ10:JU10"/>
    <mergeCell ref="JV10:JZ10"/>
    <mergeCell ref="KA10:KE10"/>
    <mergeCell ref="HB10:HF10"/>
    <mergeCell ref="HG10:HK10"/>
    <mergeCell ref="HL10:HP10"/>
    <mergeCell ref="HQ10:HU10"/>
    <mergeCell ref="HV10:HZ10"/>
    <mergeCell ref="IC10:IG10"/>
    <mergeCell ref="ET10:EX10"/>
    <mergeCell ref="EY10:FC10"/>
    <mergeCell ref="FD10:FH10"/>
    <mergeCell ref="FI10:FM10"/>
    <mergeCell ref="FN10:FR10"/>
    <mergeCell ref="FS10:FW10"/>
    <mergeCell ref="JB10:JF10"/>
    <mergeCell ref="JG10:JK10"/>
    <mergeCell ref="JL10:JP10"/>
    <mergeCell ref="IC9:LS9"/>
    <mergeCell ref="LU9:LU11"/>
    <mergeCell ref="LV9:PL9"/>
    <mergeCell ref="PN9:PN11"/>
    <mergeCell ref="PO9:SP9"/>
    <mergeCell ref="V9:V11"/>
    <mergeCell ref="IH10:IL10"/>
    <mergeCell ref="IM10:IQ10"/>
    <mergeCell ref="IR10:IV10"/>
    <mergeCell ref="IW10:JA10"/>
    <mergeCell ref="IB9:IB11"/>
    <mergeCell ref="EO10:ES10"/>
    <mergeCell ref="W9:AZ9"/>
    <mergeCell ref="BB9:BB11"/>
    <mergeCell ref="BC9:CF9"/>
    <mergeCell ref="CH9:CH11"/>
    <mergeCell ref="CI9:DL9"/>
    <mergeCell ref="DN9:DN11"/>
    <mergeCell ref="AV10:AZ10"/>
    <mergeCell ref="BC10:BG10"/>
    <mergeCell ref="BH10:BL10"/>
    <mergeCell ref="BM10:BQ10"/>
    <mergeCell ref="DO9:DS9"/>
    <mergeCell ref="DU9:DU11"/>
    <mergeCell ref="A9:A11"/>
    <mergeCell ref="B9:F9"/>
    <mergeCell ref="H9:H11"/>
    <mergeCell ref="I9:M9"/>
    <mergeCell ref="O9:O11"/>
    <mergeCell ref="P9:T9"/>
    <mergeCell ref="EI9:EI11"/>
    <mergeCell ref="EJ9:HZ9"/>
    <mergeCell ref="B8:F8"/>
    <mergeCell ref="I8:M8"/>
    <mergeCell ref="P8:T8"/>
    <mergeCell ref="DV9:DZ9"/>
    <mergeCell ref="EB9:EB11"/>
    <mergeCell ref="EC9:EG9"/>
    <mergeCell ref="B10:F10"/>
    <mergeCell ref="I10:M10"/>
    <mergeCell ref="P10:T10"/>
    <mergeCell ref="EJ10:EN10"/>
    <mergeCell ref="FX10:GB10"/>
    <mergeCell ref="GC10:GG10"/>
    <mergeCell ref="GH10:GL10"/>
    <mergeCell ref="GM10:GQ10"/>
    <mergeCell ref="GR10:GV10"/>
    <mergeCell ref="GW10:HA10"/>
    <mergeCell ref="PO8:SP8"/>
    <mergeCell ref="W8:AZ8"/>
    <mergeCell ref="BC8:CF8"/>
    <mergeCell ref="CI8:DL8"/>
    <mergeCell ref="DO8:DS8"/>
    <mergeCell ref="DV8:DZ8"/>
    <mergeCell ref="CI7:DL7"/>
    <mergeCell ref="DO7:DS7"/>
    <mergeCell ref="DV7:DZ7"/>
    <mergeCell ref="EC7:EG7"/>
    <mergeCell ref="EJ8:HZ8"/>
    <mergeCell ref="IC8:LS8"/>
    <mergeCell ref="LV8:PL8"/>
    <mergeCell ref="EC8:EG8"/>
    <mergeCell ref="EC6:EG6"/>
    <mergeCell ref="B7:F7"/>
    <mergeCell ref="I7:M7"/>
    <mergeCell ref="P7:T7"/>
    <mergeCell ref="EJ7:HZ7"/>
    <mergeCell ref="IC7:LS7"/>
    <mergeCell ref="LV7:PL7"/>
    <mergeCell ref="PO7:SP7"/>
    <mergeCell ref="W7:AZ7"/>
    <mergeCell ref="BC7:CF7"/>
    <mergeCell ref="PO6:SP6"/>
    <mergeCell ref="W6:AZ6"/>
    <mergeCell ref="BC6:CF6"/>
    <mergeCell ref="CI6:DL6"/>
    <mergeCell ref="DO6:DS6"/>
    <mergeCell ref="DV6:DZ6"/>
    <mergeCell ref="B6:F6"/>
    <mergeCell ref="I6:M6"/>
    <mergeCell ref="P6:T6"/>
    <mergeCell ref="EJ6:HZ6"/>
    <mergeCell ref="IC6:LS6"/>
    <mergeCell ref="LV6:PL6"/>
  </mergeCells>
  <pageMargins left="0.7" right="0.7" top="0.75" bottom="0.75" header="0.3" footer="0.3"/>
  <pageSetup paperSize="9" scale="1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69F81DC06514D9D0043741EC4E10A" ma:contentTypeVersion="9524" ma:contentTypeDescription="Create a new document." ma:contentTypeScope="" ma:versionID="e47cadd66cc9f2db25be8deb8f598f79">
  <xsd:schema xmlns:xsd="http://www.w3.org/2001/XMLSchema" xmlns:xs="http://www.w3.org/2001/XMLSchema" xmlns:p="http://schemas.microsoft.com/office/2006/metadata/properties" xmlns:ns1="http://schemas.microsoft.com/sharepoint/v3" xmlns:ns2="0a130892-7888-4497-bfe8-e9a956acf89b" xmlns:ns3="414de7e3-bb9d-4e14-8968-fca4b7445fe2" targetNamespace="http://schemas.microsoft.com/office/2006/metadata/properties" ma:root="true" ma:fieldsID="b04d85e16be74d07ca4e44f785529663" ns1:_="" ns2:_="" ns3:_="">
    <xsd:import namespace="http://schemas.microsoft.com/sharepoint/v3"/>
    <xsd:import namespace="0a130892-7888-4497-bfe8-e9a956acf89b"/>
    <xsd:import namespace="414de7e3-bb9d-4e14-8968-fca4b7445fe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30892-7888-4497-bfe8-e9a956acf89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b0fe6330-c372-45a2-abc8-41ede8ff8e6e}" ma:internalName="TaxCatchAll" ma:showField="CatchAllData" ma:web="0a130892-7888-4497-bfe8-e9a956acf8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de7e3-bb9d-4e14-8968-fca4b7445f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2aceaef1-6a9c-4c9b-8336-6e92fab98e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a130892-7888-4497-bfe8-e9a956acf89b">VVAA7VMXYHWC-1274559966-318274</_dlc_DocId>
    <_dlc_DocIdUrl xmlns="0a130892-7888-4497-bfe8-e9a956acf89b">
      <Url>https://nowhealth0.sharepoint.com/_layouts/15/DocIdRedir.aspx?ID=VVAA7VMXYHWC-1274559966-318274</Url>
      <Description>VVAA7VMXYHWC-1274559966-318274</Description>
    </_dlc_DocIdUrl>
    <_ip_UnifiedCompliancePolicyUIAction xmlns="http://schemas.microsoft.com/sharepoint/v3" xsi:nil="true"/>
    <_ip_UnifiedCompliancePolicyProperties xmlns="http://schemas.microsoft.com/sharepoint/v3" xsi:nil="true"/>
    <lcf76f155ced4ddcb4097134ff3c332f xmlns="414de7e3-bb9d-4e14-8968-fca4b7445fe2">
      <Terms xmlns="http://schemas.microsoft.com/office/infopath/2007/PartnerControls"/>
    </lcf76f155ced4ddcb4097134ff3c332f>
    <TaxCatchAll xmlns="0a130892-7888-4497-bfe8-e9a956acf89b" xsi:nil="true"/>
  </documentManagement>
</p:properties>
</file>

<file path=customXml/itemProps1.xml><?xml version="1.0" encoding="utf-8"?>
<ds:datastoreItem xmlns:ds="http://schemas.openxmlformats.org/officeDocument/2006/customXml" ds:itemID="{7457FE36-44BB-4C38-B878-B1B47ABA9E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AA360C-7CEE-4E22-A38D-52F49237AD6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E435F2D-091F-4EEC-9939-1737862D0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130892-7888-4497-bfe8-e9a956acf89b"/>
    <ds:schemaRef ds:uri="414de7e3-bb9d-4e14-8968-fca4b7445f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1526E35-196C-49F4-BF13-B00CC8E3B1F9}">
  <ds:schemaRefs>
    <ds:schemaRef ds:uri="91ca5cca-7fce-4b42-a746-2d9ab8abbbcc"/>
    <ds:schemaRef ds:uri="0a130892-7888-4497-bfe8-e9a956acf89b"/>
    <ds:schemaRef ds:uri="http://purl.org/dc/terms/"/>
    <ds:schemaRef ds:uri="http://purl.org/dc/elements/1.1/"/>
    <ds:schemaRef ds:uri="http://purl.org/dc/dcmitype/"/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414de7e3-bb9d-4e14-8968-fca4b7445f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 (pre tax)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Hulbert</dc:creator>
  <cp:lastModifiedBy>Ashish Ranjan</cp:lastModifiedBy>
  <cp:lastPrinted>2023-10-30T08:51:30Z</cp:lastPrinted>
  <dcterms:created xsi:type="dcterms:W3CDTF">2014-11-20T11:09:23Z</dcterms:created>
  <dcterms:modified xsi:type="dcterms:W3CDTF">2023-11-23T14:47:30Z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0x01010052469F81DC06514D9D0043741EC4E10A</vt:lpwstr>
  </property>
  <property fmtid="{D5CDD505-2E9C-101B-9397-08002B2CF9AE}" pid="3" name="Order">
    <vt:r8>3051400</vt:r8>
  </property>
  <property fmtid="{D5CDD505-2E9C-101B-9397-08002B2CF9AE}" pid="4" name="_dlc_DocIdItemGuid">
    <vt:lpwstr>96eb9ee2-eb8b-461c-a91c-aff19bbb8a7e</vt:lpwstr>
  </property>
</Properties>
</file>